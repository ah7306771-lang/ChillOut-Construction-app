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58FAFDF3-16A6-4668-8E13-E2B00E852A5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<sst xmlns="http://schemas.openxmlformats.org/spreadsheetml/2006/main" count="802" uniqueCount="141">
  <si>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</si>
  <si>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</si>
  <si>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</si>
  <si>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</si>
  <si>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</si>
  <si>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</si>
  <si>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</si>
  <si>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</si>
  <si>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</si>
  <si>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</si>
  <si>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</si>
  <si>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</si>
  <si>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</si>
  <si>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</si>
  <si>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</si>
  <si>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</si>
  <si>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</si>
  <si>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</si>
  <si>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</si>
  <si>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</si>
  <si>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</si>
  <si>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</si>
  <si>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</si>
  <si>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</si>
  <si>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</si>
  <si>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</si>
  <si>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</si>
  <si>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</si>
  <si>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</si>
  <si>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</si>
  <si>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</si>
  <si>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</si>
  <si>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</si>
  <si>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</si>
  <si>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</si>
  <si>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</si>
  <si>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</si>
  <si>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</si>
  <si>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</si>
  <si>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</si>
  <si>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</si>
  <si>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</si>
  <si>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</si>
  <si>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</si>
  <si>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</si>
  <si>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</si>
  <si>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</si>
  <si>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</si>
  <si>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</si>
  <si>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</si>
  <si>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</si>
  <si>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</si>
  <si>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</si>
  <si>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</si>
  <si>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</si>
  <si>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</si>
  <si>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</si>
  <si>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</si>
  <si>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</si>
  <si>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</si>
  <si>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</si>
  <si>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</si>
  <si>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</si>
  <si>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</si>
  <si>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</si>
  <si>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</si>
  <si>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</si>
  <si>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</si>
  <si>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</si>
  <si>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</si>
  <si>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</si>
  <si>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</si>
  <si>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</si>
  <si>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</si>
  <si>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</si>
  <si>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</si>
  <si>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</si>
  <si>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</si>
  <si>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</si>
  <si>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</si>
  <si>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</si>
  <si>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</si>
  <si>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</si>
  <si>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</si>
  <si>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</si>
  <si>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</si>
  <si>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</si>
  <si>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</si>
  <si>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</si>
  <si>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</si>
  <si>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</si>
  <si>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</si>
  <si>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</si>
  <si>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</si>
  <si>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</si>
  <si>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</si>
  <si>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</si>
  <si>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</si>
  <si>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</si>
  <si>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</si>
  <si>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</si>
  <si>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</si>
  <si>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</si>
  <si>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</si>
  <si>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</si>
  <si>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</si>
  <si>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</si>
  <si>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</si>
  <si>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</si>
  <si>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شيك 30 يوم - شيك 60 يوم</t>
  </si>
  <si>
    <t>QNB</t>
  </si>
  <si>
    <t>WAFA</t>
  </si>
  <si>
    <t>⚠ باقي 26 يوم</t>
  </si>
  <si>
    <t>⚠ باقي 56 يوم</t>
  </si>
  <si>
    <t>11 يوم</t>
  </si>
  <si>
    <t>⚠ باقي 25 يوم</t>
  </si>
  <si>
    <t>متبقي منه 380,021</t>
  </si>
  <si>
    <t>متبقي كامل</t>
  </si>
  <si>
    <t>متبقي منه 5,700,000</t>
  </si>
  <si>
    <t>⚠ شيك متأخر 41 يوم</t>
  </si>
  <si>
    <t>⚠ شيك متأخر 10 يوم</t>
  </si>
  <si>
    <t>⚠ شيك متأخر 4 يوم</t>
  </si>
  <si>
    <t>⚠ باقي 6 يوم</t>
  </si>
  <si>
    <t>⚠ باقي 10 يوم</t>
  </si>
  <si>
    <t>⚠ باقي 17 يوم</t>
  </si>
  <si>
    <t>⚠ باقي 20 يوم</t>
  </si>
  <si>
    <t>⚠ باقي 22 يوم</t>
  </si>
  <si>
    <t>⚠ باقي 24 يوم</t>
  </si>
  <si>
    <t>⚠ باقي 28 يوم</t>
  </si>
  <si>
    <t>⚠ باقي 55 يوم</t>
  </si>
  <si>
    <t>⚠ باقي 59 يوم</t>
  </si>
  <si>
    <t>🔔 قريب الاستحقاق
12,901,039</t>
  </si>
  <si>
    <t>🟢 جارٍ
56,362,931</t>
  </si>
  <si>
    <t>42 يوم</t>
  </si>
  <si>
    <t>36 يوم</t>
  </si>
  <si>
    <t>12 يوم</t>
  </si>
  <si>
    <t>8 أيام</t>
  </si>
  <si>
    <t>🔔 متبقي 6 أيام</t>
  </si>
  <si>
    <t>🔔 قريب</t>
  </si>
  <si>
    <t>⚠ متأخر
6,614,030</t>
  </si>
  <si>
    <t>✅ مسدّد
121,387,530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</si>
</sst>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6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119</v>
      </c>
      <c r="H3" s="19" t="s">
        <v>116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120</v>
      </c>
      <c r="H4" s="19" t="s">
        <v>117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121</v>
      </c>
      <c r="H5" s="19" t="s">
        <v>118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122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123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124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125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126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112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112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125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127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110</v>
      </c>
      <c r="F15" s="19" t="s">
        <v>10</v>
      </c>
      <c r="G15" s="19" t="s">
        <v>115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111</v>
      </c>
      <c r="F16" s="19" t="s">
        <v>10</v>
      </c>
      <c r="G16" s="19" t="s">
        <v>128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129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110</v>
      </c>
      <c r="F18" s="19" t="s">
        <v>10</v>
      </c>
      <c r="G18" s="19" t="s">
        <v>113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130</v>
      </c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20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109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109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109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109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109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109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109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109</v>
      </c>
      <c r="F220" s="74">
        <v>46292</v>
      </c>
      <c r="G220" s="36">
        <v>1023445</v>
      </c>
      <c r="H220" s="36">
        <v>1070083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workbookViewId="0">
      <selection activeCell="A10" sqref="A10:L23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139</v>
      </c>
      <c r="B2" s="65" t="s">
        <v>131</v>
      </c>
      <c r="C2" s="66"/>
      <c r="D2" s="49" t="s">
        <v>140</v>
      </c>
      <c r="E2" s="50" t="s">
        <v>132</v>
      </c>
      <c r="F2" s="51" t="s">
        <v>101</v>
      </c>
      <c r="G2" s="52" t="s">
        <v>3</v>
      </c>
      <c r="H2" s="53" t="s">
        <v>102</v>
      </c>
      <c r="I2" s="52" t="s">
        <v>103</v>
      </c>
      <c r="J2" s="53" t="s">
        <v>104</v>
      </c>
      <c r="K2" s="52" t="s">
        <v>103</v>
      </c>
      <c r="L2" s="54" t="s">
        <v>105</v>
      </c>
    </row>
    <row r="3" spans="1:12" ht="14.4" customHeight="1" x14ac:dyDescent="0.3">
      <c r="A3" s="39" t="s">
        <v>106</v>
      </c>
      <c r="B3" s="38"/>
      <c r="C3" s="39"/>
      <c r="D3" s="40"/>
      <c r="E3" s="56">
        <v>50</v>
      </c>
      <c r="F3" s="40"/>
      <c r="G3" s="41">
        <v>204698005.7149123</v>
      </c>
      <c r="H3" s="42">
        <v>128820006.93614036</v>
      </c>
      <c r="I3" s="41">
        <v>75877998.778771937</v>
      </c>
      <c r="J3" s="41">
        <v>6614029.5</v>
      </c>
      <c r="K3" s="40"/>
      <c r="L3" s="40"/>
    </row>
    <row r="4" spans="1:12" ht="25.2" customHeight="1" x14ac:dyDescent="0.3">
      <c r="A4" s="57" t="s">
        <v>99</v>
      </c>
      <c r="B4" s="57" t="s">
        <v>0</v>
      </c>
      <c r="C4" s="57" t="s">
        <v>97</v>
      </c>
      <c r="D4" s="57" t="s">
        <v>84</v>
      </c>
      <c r="E4" s="57" t="s">
        <v>100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4.4" customHeight="1" x14ac:dyDescent="0.3">
      <c r="A5" s="44" t="s">
        <v>39</v>
      </c>
      <c r="B5" s="44" t="s">
        <v>8</v>
      </c>
      <c r="C5" s="45">
        <v>46232</v>
      </c>
      <c r="D5" s="46">
        <v>7140063.75</v>
      </c>
      <c r="E5" s="44" t="s">
        <v>91</v>
      </c>
      <c r="F5" s="45">
        <v>46254</v>
      </c>
      <c r="G5" s="61">
        <v>2380021.25</v>
      </c>
      <c r="H5" s="46">
        <v>2000000</v>
      </c>
      <c r="I5" s="46">
        <v>380021.25</v>
      </c>
      <c r="J5" s="46">
        <v>380021.25</v>
      </c>
      <c r="K5" s="47" t="s">
        <v>133</v>
      </c>
      <c r="L5" s="44" t="s">
        <v>92</v>
      </c>
    </row>
    <row r="6" spans="1:12" ht="14.4" customHeight="1" x14ac:dyDescent="0.3">
      <c r="A6" s="44">
        <v>46</v>
      </c>
      <c r="B6" s="44" t="s">
        <v>8</v>
      </c>
      <c r="C6" s="45">
        <v>46281</v>
      </c>
      <c r="D6" s="46">
        <v>9934056</v>
      </c>
      <c r="E6" s="44" t="s">
        <v>91</v>
      </c>
      <c r="F6" s="45">
        <v>46260</v>
      </c>
      <c r="G6" s="46">
        <v>3311352</v>
      </c>
      <c r="H6" s="46">
        <v>3300000</v>
      </c>
      <c r="I6" s="46">
        <v>11352</v>
      </c>
      <c r="J6" s="46">
        <v>11352</v>
      </c>
      <c r="K6" s="47" t="s">
        <v>134</v>
      </c>
      <c r="L6" s="44" t="s">
        <v>92</v>
      </c>
    </row>
    <row r="7" spans="1:12" ht="14.4" customHeight="1" x14ac:dyDescent="0.3">
      <c r="A7" s="44">
        <v>48</v>
      </c>
      <c r="B7" s="44" t="s">
        <v>11</v>
      </c>
      <c r="C7" s="45">
        <v>46284</v>
      </c>
      <c r="D7" s="46">
        <v>1825859</v>
      </c>
      <c r="E7" s="44" t="s">
        <v>93</v>
      </c>
      <c r="F7" s="45">
        <v>46284</v>
      </c>
      <c r="G7" s="46">
        <v>1825859</v>
      </c>
      <c r="H7" s="46">
        <v>925553</v>
      </c>
      <c r="I7" s="46">
        <v>900306</v>
      </c>
      <c r="J7" s="46">
        <v>900306</v>
      </c>
      <c r="K7" s="47" t="s">
        <v>135</v>
      </c>
      <c r="L7" s="44" t="s">
        <v>92</v>
      </c>
    </row>
    <row r="8" spans="1:12" ht="14.4" customHeight="1" x14ac:dyDescent="0.3">
      <c r="A8" s="44" t="s">
        <v>39</v>
      </c>
      <c r="B8" s="44" t="s">
        <v>8</v>
      </c>
      <c r="C8" s="45">
        <v>46232</v>
      </c>
      <c r="D8" s="46">
        <v>7140063.75</v>
      </c>
      <c r="E8" s="44" t="s">
        <v>94</v>
      </c>
      <c r="F8" s="45">
        <v>46285</v>
      </c>
      <c r="G8" s="61">
        <v>2380021.25</v>
      </c>
      <c r="H8" s="46">
        <v>973387</v>
      </c>
      <c r="I8" s="46">
        <v>1406634.25</v>
      </c>
      <c r="J8" s="46">
        <v>1406634.25</v>
      </c>
      <c r="K8" s="47" t="s">
        <v>114</v>
      </c>
      <c r="L8" s="44" t="s">
        <v>92</v>
      </c>
    </row>
    <row r="9" spans="1:12" ht="14.4" customHeight="1" x14ac:dyDescent="0.3">
      <c r="A9" s="44">
        <v>50</v>
      </c>
      <c r="B9" s="44" t="s">
        <v>11</v>
      </c>
      <c r="C9" s="45">
        <v>46288</v>
      </c>
      <c r="D9" s="46">
        <v>3915716</v>
      </c>
      <c r="E9" s="44" t="s">
        <v>93</v>
      </c>
      <c r="F9" s="45">
        <v>46288</v>
      </c>
      <c r="G9" s="46">
        <v>3915716</v>
      </c>
      <c r="H9" s="46">
        <v>0</v>
      </c>
      <c r="I9" s="46">
        <v>3915716</v>
      </c>
      <c r="J9" s="46">
        <v>3915716</v>
      </c>
      <c r="K9" s="47" t="s">
        <v>136</v>
      </c>
      <c r="L9" s="44" t="s">
        <v>92</v>
      </c>
    </row>
    <row r="10" spans="1:12" ht="14.4" customHeight="1" x14ac:dyDescent="0.3">
      <c r="A10" s="44">
        <v>3</v>
      </c>
      <c r="B10" s="44" t="s">
        <v>8</v>
      </c>
      <c r="C10" s="45">
        <v>46211</v>
      </c>
      <c r="D10" s="46">
        <v>7857894</v>
      </c>
      <c r="E10" s="44" t="s">
        <v>91</v>
      </c>
      <c r="F10" s="45">
        <v>46301</v>
      </c>
      <c r="G10" s="46">
        <v>7857894</v>
      </c>
      <c r="H10" s="46">
        <v>0</v>
      </c>
      <c r="I10" s="46">
        <v>7857894</v>
      </c>
      <c r="J10" s="46">
        <v>0</v>
      </c>
      <c r="K10" s="47"/>
      <c r="L10" s="44" t="s">
        <v>137</v>
      </c>
    </row>
    <row r="11" spans="1:12" ht="14.4" customHeight="1" x14ac:dyDescent="0.3">
      <c r="A11" s="44">
        <v>36</v>
      </c>
      <c r="B11" s="44" t="s">
        <v>13</v>
      </c>
      <c r="C11" s="45">
        <v>46245</v>
      </c>
      <c r="D11" s="46">
        <v>5129113.6140350876</v>
      </c>
      <c r="E11" s="44" t="s">
        <v>91</v>
      </c>
      <c r="F11" s="45">
        <v>46305</v>
      </c>
      <c r="G11" s="46">
        <v>5129113.6140350876</v>
      </c>
      <c r="H11" s="46">
        <v>85969</v>
      </c>
      <c r="I11" s="46">
        <v>5043144.6140350876</v>
      </c>
      <c r="J11" s="46">
        <v>0</v>
      </c>
      <c r="K11" s="47"/>
      <c r="L11" s="44" t="s">
        <v>138</v>
      </c>
    </row>
    <row r="12" spans="1:12" ht="14.4" customHeight="1" x14ac:dyDescent="0.3">
      <c r="A12" s="44">
        <v>39</v>
      </c>
      <c r="B12" s="44" t="s">
        <v>47</v>
      </c>
      <c r="C12" s="45">
        <v>46250</v>
      </c>
      <c r="D12" s="46">
        <v>2017305</v>
      </c>
      <c r="E12" s="44" t="s">
        <v>91</v>
      </c>
      <c r="F12" s="45">
        <v>46310</v>
      </c>
      <c r="G12" s="46">
        <v>2017305</v>
      </c>
      <c r="H12" s="46">
        <v>0</v>
      </c>
      <c r="I12" s="46">
        <v>2017305</v>
      </c>
      <c r="J12" s="46">
        <v>0</v>
      </c>
      <c r="K12" s="47"/>
      <c r="L12" s="44" t="s">
        <v>95</v>
      </c>
    </row>
    <row r="13" spans="1:12" ht="14.4" customHeight="1" x14ac:dyDescent="0.3">
      <c r="A13" s="44">
        <v>41</v>
      </c>
      <c r="B13" s="44" t="s">
        <v>13</v>
      </c>
      <c r="C13" s="45">
        <v>46251</v>
      </c>
      <c r="D13" s="46">
        <v>3979312.8421052634</v>
      </c>
      <c r="E13" s="44" t="s">
        <v>91</v>
      </c>
      <c r="F13" s="45">
        <v>46311</v>
      </c>
      <c r="G13" s="46">
        <v>3979312.8421052634</v>
      </c>
      <c r="H13" s="46">
        <v>0</v>
      </c>
      <c r="I13" s="46">
        <v>3979312.8421052634</v>
      </c>
      <c r="J13" s="46">
        <v>0</v>
      </c>
      <c r="K13" s="47"/>
      <c r="L13" s="44" t="s">
        <v>95</v>
      </c>
    </row>
    <row r="14" spans="1:12" ht="14.4" customHeight="1" x14ac:dyDescent="0.3">
      <c r="A14" s="44">
        <v>47</v>
      </c>
      <c r="B14" s="44" t="s">
        <v>11</v>
      </c>
      <c r="C14" s="45">
        <v>46284</v>
      </c>
      <c r="D14" s="46">
        <v>4577624</v>
      </c>
      <c r="E14" s="44" t="s">
        <v>91</v>
      </c>
      <c r="F14" s="45">
        <v>46314</v>
      </c>
      <c r="G14" s="46">
        <v>3433218</v>
      </c>
      <c r="H14" s="46">
        <v>0</v>
      </c>
      <c r="I14" s="46">
        <v>3433218</v>
      </c>
      <c r="J14" s="46">
        <v>0</v>
      </c>
      <c r="K14" s="47"/>
      <c r="L14" s="44" t="s">
        <v>95</v>
      </c>
    </row>
    <row r="15" spans="1:12" ht="14.4" customHeight="1" x14ac:dyDescent="0.3">
      <c r="A15" s="55" t="s">
        <v>39</v>
      </c>
      <c r="B15" s="55" t="s">
        <v>8</v>
      </c>
      <c r="C15" s="58">
        <v>46232</v>
      </c>
      <c r="D15" s="59">
        <v>7140063.75</v>
      </c>
      <c r="E15" s="55" t="s">
        <v>96</v>
      </c>
      <c r="F15" s="58">
        <v>46315</v>
      </c>
      <c r="G15" s="62">
        <v>2380021.25</v>
      </c>
      <c r="H15" s="59">
        <v>0</v>
      </c>
      <c r="I15" s="59">
        <v>2380021.25</v>
      </c>
      <c r="J15" s="59">
        <v>0</v>
      </c>
      <c r="K15" s="60"/>
      <c r="L15" s="55" t="s">
        <v>95</v>
      </c>
    </row>
    <row r="16" spans="1:12" ht="14.4" customHeight="1" x14ac:dyDescent="0.3">
      <c r="A16" s="55">
        <v>43</v>
      </c>
      <c r="B16" s="55" t="s">
        <v>15</v>
      </c>
      <c r="C16" s="58">
        <v>46256</v>
      </c>
      <c r="D16" s="59">
        <v>17745354</v>
      </c>
      <c r="E16" s="55" t="s">
        <v>91</v>
      </c>
      <c r="F16" s="58">
        <v>46316</v>
      </c>
      <c r="G16" s="59">
        <v>17745354</v>
      </c>
      <c r="H16" s="59">
        <v>0</v>
      </c>
      <c r="I16" s="59">
        <v>17745354</v>
      </c>
      <c r="J16" s="59">
        <v>0</v>
      </c>
      <c r="K16" s="60"/>
      <c r="L16" s="55" t="s">
        <v>95</v>
      </c>
    </row>
    <row r="17" spans="1:12" ht="14.4" customHeight="1" x14ac:dyDescent="0.3">
      <c r="A17" s="55">
        <v>31</v>
      </c>
      <c r="B17" s="55" t="s">
        <v>8</v>
      </c>
      <c r="C17" s="58">
        <v>46240</v>
      </c>
      <c r="D17" s="59">
        <v>21017295.5</v>
      </c>
      <c r="E17" s="55" t="s">
        <v>96</v>
      </c>
      <c r="F17" s="58">
        <v>46321</v>
      </c>
      <c r="G17" s="59">
        <v>7005765.166666667</v>
      </c>
      <c r="H17" s="59">
        <v>0</v>
      </c>
      <c r="I17" s="59">
        <v>7005765.166666667</v>
      </c>
      <c r="J17" s="59">
        <v>0</v>
      </c>
      <c r="K17" s="60"/>
      <c r="L17" s="55" t="s">
        <v>95</v>
      </c>
    </row>
    <row r="18" spans="1:12" ht="14.4" customHeight="1" x14ac:dyDescent="0.3">
      <c r="A18" s="55">
        <v>37</v>
      </c>
      <c r="B18" s="55" t="s">
        <v>8</v>
      </c>
      <c r="C18" s="58">
        <v>46250</v>
      </c>
      <c r="D18" s="59">
        <v>8878488</v>
      </c>
      <c r="E18" s="55" t="s">
        <v>96</v>
      </c>
      <c r="F18" s="58">
        <v>46321</v>
      </c>
      <c r="G18" s="59">
        <v>2959496</v>
      </c>
      <c r="H18" s="59">
        <v>0</v>
      </c>
      <c r="I18" s="59">
        <v>2959496</v>
      </c>
      <c r="J18" s="59">
        <v>0</v>
      </c>
      <c r="K18" s="60"/>
      <c r="L18" s="55" t="s">
        <v>95</v>
      </c>
    </row>
    <row r="19" spans="1:12" ht="14.4" customHeight="1" x14ac:dyDescent="0.3">
      <c r="A19" s="55">
        <v>44</v>
      </c>
      <c r="B19" s="55" t="s">
        <v>17</v>
      </c>
      <c r="C19" s="58">
        <v>46268</v>
      </c>
      <c r="D19" s="59">
        <v>7179524.3859649124</v>
      </c>
      <c r="E19" s="55" t="s">
        <v>91</v>
      </c>
      <c r="F19" s="58">
        <v>46321</v>
      </c>
      <c r="G19" s="59">
        <v>7179524.3859649124</v>
      </c>
      <c r="H19" s="59">
        <v>147567.97999999952</v>
      </c>
      <c r="I19" s="59">
        <v>7031956.4059649128</v>
      </c>
      <c r="J19" s="59">
        <v>0</v>
      </c>
      <c r="K19" s="60"/>
      <c r="L19" s="55" t="s">
        <v>95</v>
      </c>
    </row>
    <row r="20" spans="1:12" ht="14.4" customHeight="1" x14ac:dyDescent="0.3">
      <c r="A20" s="55">
        <v>46</v>
      </c>
      <c r="B20" s="55" t="s">
        <v>8</v>
      </c>
      <c r="C20" s="58">
        <v>46281</v>
      </c>
      <c r="D20" s="59">
        <v>9934056</v>
      </c>
      <c r="E20" s="55" t="s">
        <v>96</v>
      </c>
      <c r="F20" s="58">
        <v>46321</v>
      </c>
      <c r="G20" s="59">
        <v>3311352</v>
      </c>
      <c r="H20" s="59">
        <v>0</v>
      </c>
      <c r="I20" s="59">
        <v>3311352</v>
      </c>
      <c r="J20" s="59">
        <v>0</v>
      </c>
      <c r="K20" s="60"/>
      <c r="L20" s="55" t="s">
        <v>95</v>
      </c>
    </row>
    <row r="21" spans="1:12" ht="14.4" customHeight="1" x14ac:dyDescent="0.3">
      <c r="A21" s="55">
        <v>51</v>
      </c>
      <c r="B21" s="55" t="s">
        <v>11</v>
      </c>
      <c r="C21" s="58">
        <v>46292</v>
      </c>
      <c r="D21" s="59">
        <v>4576040</v>
      </c>
      <c r="E21" s="55" t="s">
        <v>91</v>
      </c>
      <c r="F21" s="58">
        <v>46322</v>
      </c>
      <c r="G21" s="59">
        <v>2288020</v>
      </c>
      <c r="H21" s="59">
        <v>0</v>
      </c>
      <c r="I21" s="59">
        <v>2288020</v>
      </c>
      <c r="J21" s="59">
        <v>0</v>
      </c>
      <c r="K21" s="60"/>
      <c r="L21" s="55" t="s">
        <v>95</v>
      </c>
    </row>
    <row r="22" spans="1:12" ht="14.4" customHeight="1" x14ac:dyDescent="0.3">
      <c r="A22" s="55">
        <v>49</v>
      </c>
      <c r="B22" s="55" t="s">
        <v>47</v>
      </c>
      <c r="C22" s="58">
        <v>46286</v>
      </c>
      <c r="D22" s="59">
        <v>1923110</v>
      </c>
      <c r="E22" s="55" t="s">
        <v>91</v>
      </c>
      <c r="F22" s="58">
        <v>46346</v>
      </c>
      <c r="G22" s="59">
        <v>1923110</v>
      </c>
      <c r="H22" s="59">
        <v>0</v>
      </c>
      <c r="I22" s="59">
        <v>1923110</v>
      </c>
      <c r="J22" s="59">
        <v>0</v>
      </c>
      <c r="K22" s="60"/>
      <c r="L22" s="55" t="s">
        <v>95</v>
      </c>
    </row>
    <row r="23" spans="1:12" ht="14.4" customHeight="1" x14ac:dyDescent="0.3">
      <c r="A23" s="55">
        <v>51</v>
      </c>
      <c r="B23" s="55" t="s">
        <v>11</v>
      </c>
      <c r="C23" s="58">
        <v>46292</v>
      </c>
      <c r="D23" s="59">
        <v>4576040</v>
      </c>
      <c r="E23" s="55" t="s">
        <v>94</v>
      </c>
      <c r="F23" s="58">
        <v>46353</v>
      </c>
      <c r="G23" s="59">
        <v>2288020</v>
      </c>
      <c r="H23" s="59">
        <v>0</v>
      </c>
      <c r="I23" s="59">
        <v>2288020</v>
      </c>
      <c r="J23" s="59">
        <v>0</v>
      </c>
      <c r="K23" s="60"/>
      <c r="L23" s="55" t="s">
        <v>95</v>
      </c>
    </row>
    <row r="24" spans="1:12" ht="14.4" customHeight="1" x14ac:dyDescent="0.3"/>
    <row r="25" spans="1:12" ht="14.4" customHeight="1" x14ac:dyDescent="0.3"/>
    <row r="26" spans="1:12" ht="14.4" customHeight="1" x14ac:dyDescent="0.3"/>
    <row r="27" spans="1:12" ht="14.4" customHeight="1" x14ac:dyDescent="0.3"/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9">
    <cfRule type="containsText" dxfId="11" priority="7" operator="containsText" text="مسدّد">
      <formula>NOT(ISERROR(SEARCH("مسدّد",L7)))</formula>
    </cfRule>
  </conditionalFormatting>
  <conditionalFormatting sqref="L7:L9">
    <cfRule type="containsText" dxfId="10" priority="8" operator="containsText" text="مستحق">
      <formula>NOT(ISERROR(SEARCH("مستحق",L7)))</formula>
    </cfRule>
  </conditionalFormatting>
  <conditionalFormatting sqref="L7:L9">
    <cfRule type="containsText" dxfId="9" priority="9" operator="containsText" text="قريب">
      <formula>NOT(ISERROR(SEARCH("قريب",L7)))</formula>
    </cfRule>
  </conditionalFormatting>
  <conditionalFormatting sqref="L7:L9">
    <cfRule type="containsText" dxfId="8" priority="10" operator="containsText" text="جار">
      <formula>NOT(ISERROR(SEARCH("جار",L7)))</formula>
    </cfRule>
  </conditionalFormatting>
  <conditionalFormatting sqref="L7:L9">
    <cfRule type="containsText" dxfId="7" priority="11" operator="containsText" text="بدون">
      <formula>NOT(ISERROR(SEARCH("بدون",L7)))</formula>
    </cfRule>
  </conditionalFormatting>
  <conditionalFormatting sqref="J7:J9">
    <cfRule type="cellIs" dxfId="6" priority="12" operator="greaterThan">
      <formula>0</formula>
    </cfRule>
  </conditionalFormatting>
  <conditionalFormatting sqref="L10:L23">
    <cfRule type="containsText" dxfId="5" priority="1" operator="containsText" text="مسدّد">
      <formula>NOT(ISERROR(SEARCH("مسدّد",L10)))</formula>
    </cfRule>
  </conditionalFormatting>
  <conditionalFormatting sqref="L10:L23">
    <cfRule type="containsText" dxfId="4" priority="2" operator="containsText" text="مستحق">
      <formula>NOT(ISERROR(SEARCH("مستحق",L10)))</formula>
    </cfRule>
  </conditionalFormatting>
  <conditionalFormatting sqref="L10:L23">
    <cfRule type="containsText" dxfId="3" priority="3" operator="containsText" text="قريب">
      <formula>NOT(ISERROR(SEARCH("قريب",L10)))</formula>
    </cfRule>
  </conditionalFormatting>
  <conditionalFormatting sqref="L10:L23">
    <cfRule type="containsText" dxfId="2" priority="4" operator="containsText" text="جار">
      <formula>NOT(ISERROR(SEARCH("جار",L10)))</formula>
    </cfRule>
  </conditionalFormatting>
  <conditionalFormatting sqref="L10:L23">
    <cfRule type="containsText" dxfId="1" priority="5" operator="containsText" text="بدون">
      <formula>NOT(ISERROR(SEARCH("بدون",L10)))</formula>
    </cfRule>
  </conditionalFormatting>
  <conditionalFormatting sqref="J10:J23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75808241.734912291</v>
      </c>
      <c r="C2" s="70"/>
      <c r="I2" s="3" t="s">
        <v>51</v>
      </c>
      <c r="J2" s="69">
        <f>SUM(J4:J3000)-SUM(K4:K3000)</f>
        <v>-76332975.5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76332975.5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12825280</v>
      </c>
      <c r="C7" s="7">
        <v>0</v>
      </c>
    </row>
    <row r="8" spans="1:11" ht="18" customHeight="1" x14ac:dyDescent="0.35">
      <c r="A8" s="6" t="s">
        <v>47</v>
      </c>
      <c r="B8" s="7">
        <v>3940415.0000000005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x14ac:dyDescent="0.3">
      <c r="B12" s="8"/>
      <c r="C12" s="8"/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5</v>
      </c>
      <c r="C2" s="23">
        <v>6614029.5</v>
      </c>
      <c r="D2" s="24">
        <v>21.8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8</v>
      </c>
      <c r="B4" s="27">
        <v>3</v>
      </c>
      <c r="C4" s="28">
        <v>1798007.5</v>
      </c>
      <c r="D4" s="29">
        <v>29.666666666666668</v>
      </c>
    </row>
    <row r="5" spans="1:4" x14ac:dyDescent="0.3">
      <c r="A5" s="30" t="s">
        <v>11</v>
      </c>
      <c r="B5" s="27">
        <v>2</v>
      </c>
      <c r="C5" s="28">
        <v>4816022</v>
      </c>
      <c r="D5" s="29">
        <v>10</v>
      </c>
    </row>
    <row r="6" spans="1:4" x14ac:dyDescent="0.3">
      <c r="A6" s="31"/>
      <c r="B6" s="27" t="s">
        <v>83</v>
      </c>
      <c r="C6" s="28" t="s">
        <v>83</v>
      </c>
      <c r="D6" s="29" t="s">
        <v>83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dFDZAHQfgyoQSARX8LpEAfWoIWhTN2jdOJW8OGgNvWMQouoXde/tet98YUR7WsDmOKkI4BSUhL0EO6N9kCqHdg==" saltValue="NH/DMwn7oQCagAieDY0p1Q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2026-09-30T13:48:07Z</dcterms:modified>
</cp:coreProperties>
</file>