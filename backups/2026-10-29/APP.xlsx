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A92943D3-D052-4640-AC09-D63057BDBCC5}" xr6:coauthVersionLast="47" xr6:coauthVersionMax="47" xr10:uidLastSave="{00000000-0000-0000-0000-000000000000}"/>
  <bookViews>
    <workbookView minimized="1" xWindow="7032" yWindow="348" windowWidth="12504" windowHeight="8964" activeTab="6" xr2:uid="{00000000-000D-0000-FFFF-FFFF00000000}"/>
  </bookViews>
  <sheets>
    <sheet name="الشيكات" sheetId="1" r:id="rId1"/>
    <sheet name="شيكات علينا" sheetId="7" r:id="rId2"/>
    <sheet name="اخر سعر شراء  وبيع" sheetId="2" r:id="rId3"/>
    <sheet name="الاقساط" sheetId="6" r:id="rId4"/>
    <sheet name="العملاء والموردين" sheetId="3" r:id="rId5"/>
    <sheet name="الرواتب" sheetId="4" r:id="rId6"/>
    <sheet name="اجمالي متأخرات" sheetId="5" r:id="rId7"/>
  </sheets>
  <definedNames>
    <definedName name="_xlnm._FilterDatabase" localSheetId="2" hidden="1">'اخر سعر شراء  وبيع'!$A$2:$J$181</definedName>
    <definedName name="_xlnm._FilterDatabase" localSheetId="3" hidden="1">الاقساط!$A$4:$BF$3991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J12" i="4" l="1"/>
  <c r="J11" i="4"/>
  <c r="I10" i="4"/>
  <c r="F10" i="4"/>
  <c r="I9" i="4"/>
  <c r="F9" i="4"/>
  <c r="I8" i="4"/>
  <c r="F8" i="4"/>
  <c r="I7" i="4"/>
  <c r="F7" i="4"/>
  <c r="I6" i="4"/>
  <c r="F6" i="4"/>
  <c r="I5" i="4"/>
  <c r="F5" i="4"/>
  <c r="I4" i="4"/>
  <c r="F4" i="4"/>
  <c r="I3" i="4"/>
  <c r="F3" i="4"/>
  <c r="I2" i="4"/>
  <c r="F2" i="4"/>
  <c r="J5" i="4" l="1"/>
  <c r="J9" i="4"/>
  <c r="J8" i="4"/>
  <c r="J4" i="4"/>
  <c r="J2" i="4"/>
  <c r="J6" i="4"/>
  <c r="J10" i="4"/>
  <c r="J3" i="4"/>
  <c r="J7" i="4"/>
</calcChain>
</file>

<file path=xl/sharedStrings.xml><?xml version="1.0" encoding="utf-8"?>
<sst xmlns="http://schemas.openxmlformats.org/spreadsheetml/2006/main" count="736" uniqueCount="148">
  <si>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</si>
  <si>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</si>
  <si>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</si>
  <si>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</si>
  <si>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</si>
  <si>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</si>
  <si>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</si>
  <si>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</si>
  <si>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</si>
  <si>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</si>
  <si>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</si>
  <si>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</si>
  <si>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</si>
  <si>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</si>
  <si>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الشركة المتحده</t>
  </si>
  <si>
    <t>سامكريت مصر</t>
  </si>
  <si>
    <t>اسم العميل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</si>
  <si>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</si>
  <si>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</si>
  <si>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</si>
  <si>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</si>
  <si>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</si>
  <si>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</si>
  <si>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</si>
  <si>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</si>
  <si>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</si>
  <si>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</si>
  <si>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</si>
  <si>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</si>
  <si>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</si>
  <si>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</si>
  <si>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</si>
  <si>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</si>
  <si>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</si>
  <si>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</si>
  <si>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</si>
  <si>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</si>
  <si>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</si>
  <si>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</si>
  <si>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</si>
  <si>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</si>
  <si>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</si>
  <si>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</si>
  <si>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</si>
  <si>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</si>
  <si>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</si>
  <si>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</si>
  <si>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</si>
  <si>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</si>
  <si>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</si>
  <si>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</si>
  <si>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</si>
  <si>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</si>
  <si>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</si>
  <si>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</si>
  <si>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</si>
  <si>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</si>
  <si>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</si>
  <si>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</si>
  <si>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</si>
  <si>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</si>
  <si>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</si>
  <si>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</si>
  <si>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</si>
  <si>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</si>
  <si>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</si>
  <si>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</si>
  <si>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</si>
  <si>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</si>
  <si>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</si>
  <si>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</si>
  <si>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</si>
  <si>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</si>
  <si>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</si>
  <si>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</si>
  <si>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</si>
  <si>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</si>
  <si>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</si>
  <si>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</si>
  <si>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</si>
  <si>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</si>
  <si>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</si>
  <si>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</si>
  <si>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</si>
  <si>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</si>
  <si>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</si>
  <si>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</si>
  <si>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</si>
  <si>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</si>
  <si>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</si>
  <si>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</si>
  <si>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</si>
  <si>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</si>
  <si>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</si>
  <si>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</si>
  <si>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</si>
  <si>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</si>
  <si>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QNB</t>
  </si>
  <si>
    <t>WAFA</t>
  </si>
  <si>
    <t>الامين</t>
  </si>
  <si>
    <t>مصطفي عمر</t>
  </si>
  <si>
    <t>المورد</t>
  </si>
  <si>
    <t>مصر</t>
  </si>
  <si>
    <t>أ.د</t>
  </si>
  <si>
    <t>ياسر خشب</t>
  </si>
  <si>
    <t>نظافه - شيل سيتي</t>
  </si>
  <si>
    <t>في ترانس</t>
  </si>
  <si>
    <t>⚠ مستحق</t>
  </si>
  <si>
    <t>الوزن الفعلي</t>
  </si>
  <si>
    <t>T1</t>
  </si>
  <si>
    <t>كاش 25% - شيك اجل 30 يوم</t>
  </si>
  <si>
    <t>اجل 60 يوم</t>
  </si>
  <si>
    <t>شيك 30 يوم 50 % - شيك 60 يوم 50%</t>
  </si>
  <si>
    <t>كاش 50% - 50 % شيك اجل 30 يوم</t>
  </si>
  <si>
    <t>كاش 100 %</t>
  </si>
  <si>
    <t>كاش 40% - 30% شيك اجل 45 يوم - 30% شيك اجل 75 يوم</t>
  </si>
  <si>
    <t>100% كاش</t>
  </si>
  <si>
    <t>كاش 25 % - باقي اجل 30 يوم</t>
  </si>
  <si>
    <t>اجل  60 يوم</t>
  </si>
  <si>
    <t>كاش 50 % - اجل 50% كاش</t>
  </si>
  <si>
    <t>سعر الشراء</t>
  </si>
  <si>
    <t>سعر البيع</t>
  </si>
  <si>
    <t>طريقة السداد</t>
  </si>
  <si>
    <t>9 أيام</t>
  </si>
  <si>
    <t>🟢 جارٍ
28,042,623</t>
  </si>
  <si>
    <t>14 يوم</t>
  </si>
  <si>
    <t>10 أيام</t>
  </si>
  <si>
    <t>🔔 قريب</t>
  </si>
  <si>
    <t>⚠ باقي 28 يوم</t>
  </si>
  <si>
    <t>🔔 قريب الاستحقاق
4,995,733</t>
  </si>
  <si>
    <t>11 يوم</t>
  </si>
  <si>
    <t>يومان</t>
  </si>
  <si>
    <t>✅ مسدّد
194,049,435</t>
  </si>
  <si>
    <t>⚠ شيك متأخر 8 يوم</t>
  </si>
  <si>
    <t>⚠ شيك متأخر 3 يوم</t>
  </si>
  <si>
    <t>⚠ مستحق النهاردة</t>
  </si>
  <si>
    <t>⚠ باقي 2 يوم</t>
  </si>
  <si>
    <t>⚠ باقي 9 يوم</t>
  </si>
  <si>
    <t>⚠ باقي 25 يوم</t>
  </si>
  <si>
    <t>⚠ باقي 27 يوم</t>
  </si>
  <si>
    <t>⚠ باقي 31 يوم</t>
  </si>
  <si>
    <t>23 يوم</t>
  </si>
  <si>
    <t>18 يوم</t>
  </si>
  <si>
    <t>15 يوم</t>
  </si>
  <si>
    <t>12 يوم</t>
  </si>
  <si>
    <t>3 أيام</t>
  </si>
  <si>
    <t>🔔 متبقي 4 أيام</t>
  </si>
  <si>
    <t>⚠ متأخر
30,470,351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</si>
</sst>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3"/>
      <color rgb="FF548235"/>
      <name val="Calibri"/>
      <family val="2"/>
    </font>
    <font>
      <b/>
      <sz val="13"/>
      <color rgb="FFFFFFFF"/>
      <name val="Calibri"/>
      <family val="2"/>
    </font>
    <font>
      <b/>
      <sz val="13"/>
      <color rgb="FFC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6" fillId="8" borderId="11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19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9" fillId="0" borderId="8" xfId="0" applyFont="1" applyBorder="1"/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4" fontId="1" fillId="0" borderId="1" xfId="0" applyNumberFormat="1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8" fontId="2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5" fontId="22" fillId="0" borderId="16" xfId="0" applyNumberFormat="1" applyFont="1" applyBorder="1" applyAlignment="1">
      <alignment horizontal="center" vertical="center"/>
    </xf>
    <xf numFmtId="165" fontId="13" fillId="0" borderId="16" xfId="0" applyNumberFormat="1" applyFont="1" applyBorder="1" applyAlignment="1">
      <alignment horizontal="center" vertical="center"/>
    </xf>
    <xf numFmtId="165" fontId="2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7" fontId="3" fillId="0" borderId="18" xfId="0" applyNumberFormat="1" applyFont="1" applyBorder="1" applyAlignment="1">
      <alignment horizontal="center"/>
    </xf>
    <xf numFmtId="165" fontId="3" fillId="0" borderId="18" xfId="0" applyNumberFormat="1" applyFont="1" applyBorder="1" applyAlignment="1">
      <alignment horizontal="center"/>
    </xf>
    <xf numFmtId="168" fontId="25" fillId="0" borderId="1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7" fillId="12" borderId="10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8" fillId="13" borderId="11" xfId="0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0" fillId="3" borderId="1" xfId="0" applyNumberFormat="1" applyFont="1" applyFill="1" applyBorder="1" applyAlignment="1">
      <alignment horizontal="center"/>
    </xf>
    <xf numFmtId="0" fontId="21" fillId="0" borderId="9" xfId="0" applyFont="1" applyBorder="1"/>
    <xf numFmtId="0" fontId="20" fillId="0" borderId="0" xfId="0" applyFont="1" applyAlignment="1">
      <alignment horizontal="center"/>
    </xf>
    <xf numFmtId="0" fontId="20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46"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0A57FA6-7971-4FBB-9B60-62576DBCDC0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400a22-7338-44a1-b24e-25aec6e7fd8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2C4F668-4635-4AF9-8A1D-D449BAE98BD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1ec4c094-9b34-4f8f-97a0-2f21f826321b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F4" sqref="F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11</v>
      </c>
      <c r="B3" s="19">
        <v>551298792</v>
      </c>
      <c r="C3" s="19">
        <v>3433000</v>
      </c>
      <c r="D3" s="86">
        <v>46315</v>
      </c>
      <c r="E3" s="19" t="s">
        <v>12</v>
      </c>
      <c r="F3" s="19" t="s">
        <v>10</v>
      </c>
      <c r="G3" s="19" t="s">
        <v>133</v>
      </c>
      <c r="H3" s="19"/>
      <c r="I3" s="19"/>
    </row>
    <row r="4" spans="1:9" x14ac:dyDescent="0.3">
      <c r="A4" s="19" t="s">
        <v>11</v>
      </c>
      <c r="B4" s="19">
        <v>67491042</v>
      </c>
      <c r="C4" s="19">
        <v>304550</v>
      </c>
      <c r="D4" s="86">
        <v>46320</v>
      </c>
      <c r="E4" s="19" t="s">
        <v>97</v>
      </c>
      <c r="F4" s="19" t="s">
        <v>10</v>
      </c>
      <c r="G4" s="19" t="s">
        <v>134</v>
      </c>
      <c r="H4" s="19"/>
      <c r="I4" s="19"/>
    </row>
    <row r="5" spans="1:9" x14ac:dyDescent="0.3">
      <c r="A5" s="19" t="s">
        <v>11</v>
      </c>
      <c r="B5" s="19">
        <v>532070</v>
      </c>
      <c r="C5" s="19">
        <v>1500000</v>
      </c>
      <c r="D5" s="86">
        <v>46323</v>
      </c>
      <c r="E5" s="19" t="s">
        <v>98</v>
      </c>
      <c r="F5" s="19" t="s">
        <v>10</v>
      </c>
      <c r="G5" s="19" t="s">
        <v>135</v>
      </c>
      <c r="H5" s="19"/>
      <c r="I5" s="19"/>
    </row>
    <row r="6" spans="1:9" x14ac:dyDescent="0.3">
      <c r="A6" s="19" t="s">
        <v>99</v>
      </c>
      <c r="B6" s="19">
        <v>74668</v>
      </c>
      <c r="C6" s="19">
        <v>1400000</v>
      </c>
      <c r="D6" s="86">
        <v>46325</v>
      </c>
      <c r="E6" s="19" t="s">
        <v>9</v>
      </c>
      <c r="F6" s="19" t="s">
        <v>10</v>
      </c>
      <c r="G6" s="19" t="s">
        <v>136</v>
      </c>
      <c r="H6" s="19"/>
      <c r="I6" s="19"/>
    </row>
    <row r="7" spans="1:9" x14ac:dyDescent="0.3">
      <c r="A7" s="19" t="s">
        <v>99</v>
      </c>
      <c r="B7" s="19">
        <v>74669</v>
      </c>
      <c r="C7" s="19">
        <v>1200000</v>
      </c>
      <c r="D7" s="86">
        <v>46325</v>
      </c>
      <c r="E7" s="19" t="s">
        <v>9</v>
      </c>
      <c r="F7" s="19" t="s">
        <v>10</v>
      </c>
      <c r="G7" s="19" t="s">
        <v>136</v>
      </c>
      <c r="H7" s="19"/>
      <c r="I7" s="19"/>
    </row>
    <row r="8" spans="1:9" x14ac:dyDescent="0.3">
      <c r="A8" s="19" t="s">
        <v>99</v>
      </c>
      <c r="B8" s="19">
        <v>74675</v>
      </c>
      <c r="C8" s="19">
        <v>2395732.5</v>
      </c>
      <c r="D8" s="86">
        <v>46332</v>
      </c>
      <c r="E8" s="19" t="s">
        <v>9</v>
      </c>
      <c r="F8" s="19" t="s">
        <v>10</v>
      </c>
      <c r="G8" s="19" t="s">
        <v>137</v>
      </c>
      <c r="H8" s="19"/>
      <c r="I8" s="19"/>
    </row>
    <row r="9" spans="1:9" x14ac:dyDescent="0.3">
      <c r="A9" s="19" t="s">
        <v>38</v>
      </c>
      <c r="B9" s="19"/>
      <c r="C9" s="19">
        <v>1923110</v>
      </c>
      <c r="D9" s="86">
        <v>46348</v>
      </c>
      <c r="E9" s="19"/>
      <c r="F9" s="19" t="s">
        <v>10</v>
      </c>
      <c r="G9" s="19" t="s">
        <v>138</v>
      </c>
      <c r="H9" s="19" t="s">
        <v>106</v>
      </c>
      <c r="I9" s="19"/>
    </row>
    <row r="10" spans="1:9" x14ac:dyDescent="0.3">
      <c r="A10" s="19" t="s">
        <v>11</v>
      </c>
      <c r="B10" s="19">
        <v>552585549</v>
      </c>
      <c r="C10" s="19">
        <v>805700</v>
      </c>
      <c r="D10" s="86">
        <v>46350</v>
      </c>
      <c r="E10" s="19" t="s">
        <v>12</v>
      </c>
      <c r="F10" s="19" t="s">
        <v>10</v>
      </c>
      <c r="G10" s="19" t="s">
        <v>139</v>
      </c>
      <c r="H10" s="19"/>
      <c r="I10" s="19"/>
    </row>
    <row r="11" spans="1:9" x14ac:dyDescent="0.3">
      <c r="A11" s="19" t="s">
        <v>11</v>
      </c>
      <c r="B11" s="19">
        <v>67491043</v>
      </c>
      <c r="C11" s="19">
        <v>304550</v>
      </c>
      <c r="D11" s="86">
        <v>46351</v>
      </c>
      <c r="E11" s="19" t="s">
        <v>97</v>
      </c>
      <c r="F11" s="19" t="s">
        <v>10</v>
      </c>
      <c r="G11" s="19" t="s">
        <v>128</v>
      </c>
      <c r="H11" s="19"/>
      <c r="I11" s="19"/>
    </row>
    <row r="12" spans="1:9" x14ac:dyDescent="0.3">
      <c r="A12" s="19" t="s">
        <v>11</v>
      </c>
      <c r="B12" s="19">
        <v>551695622</v>
      </c>
      <c r="C12" s="19">
        <v>855540</v>
      </c>
      <c r="D12" s="86">
        <v>46354</v>
      </c>
      <c r="E12" s="19" t="s">
        <v>12</v>
      </c>
      <c r="F12" s="19" t="s">
        <v>10</v>
      </c>
      <c r="G12" s="19" t="s">
        <v>140</v>
      </c>
      <c r="H12" s="19"/>
      <c r="I12" s="19"/>
    </row>
    <row r="13" spans="1:9" x14ac:dyDescent="0.3">
      <c r="A13" s="19"/>
      <c r="B13" s="19"/>
      <c r="C13" s="19"/>
      <c r="D13" s="20"/>
      <c r="E13" s="19"/>
      <c r="F13" s="19"/>
      <c r="G13" s="19"/>
      <c r="H13" s="19"/>
      <c r="I13" s="19"/>
    </row>
    <row r="14" spans="1:9" x14ac:dyDescent="0.3">
      <c r="A14" s="19"/>
      <c r="B14" s="19"/>
      <c r="C14" s="19"/>
      <c r="D14" s="20"/>
      <c r="E14" s="19"/>
      <c r="F14" s="19"/>
      <c r="G14" s="19"/>
      <c r="H14" s="19"/>
      <c r="I14" s="19"/>
    </row>
    <row r="15" spans="1:9" x14ac:dyDescent="0.3">
      <c r="A15" s="19"/>
      <c r="B15" s="19"/>
      <c r="C15" s="19"/>
      <c r="D15" s="20"/>
      <c r="E15" s="19"/>
      <c r="F15" s="19"/>
      <c r="G15" s="19"/>
      <c r="H15" s="19"/>
      <c r="I15" s="19"/>
    </row>
    <row r="16" spans="1:9" x14ac:dyDescent="0.3">
      <c r="A16" s="19"/>
      <c r="B16" s="19"/>
      <c r="C16" s="19"/>
      <c r="D16" s="20"/>
      <c r="E16" s="19"/>
      <c r="F16" s="19"/>
      <c r="G16" s="19"/>
      <c r="H16" s="19"/>
      <c r="I16" s="19"/>
    </row>
    <row r="17" spans="1:9" x14ac:dyDescent="0.3">
      <c r="A17" s="19"/>
      <c r="B17" s="19"/>
      <c r="C17" s="19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0F40-EAF7-404D-8494-DFC98854C4A6}">
  <sheetPr codeName="Sheet7"/>
  <dimension ref="A2:I52"/>
  <sheetViews>
    <sheetView rightToLeft="1" workbookViewId="0">
      <selection activeCell="C6" sqref="C6"/>
    </sheetView>
  </sheetViews>
  <sheetFormatPr defaultRowHeight="14.4" x14ac:dyDescent="0.3"/>
  <cols>
    <col min="1" max="1" width="13.88671875" bestFit="1" customWidth="1"/>
    <col min="2" max="2" width="12.5546875" customWidth="1"/>
    <col min="3" max="3" width="12.6640625" style="50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101</v>
      </c>
      <c r="B2" s="17" t="s">
        <v>1</v>
      </c>
      <c r="C2" s="49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104</v>
      </c>
      <c r="B3" s="19">
        <v>77838207</v>
      </c>
      <c r="C3" s="32">
        <v>290000</v>
      </c>
      <c r="D3" s="20">
        <v>46342</v>
      </c>
      <c r="E3" s="19" t="s">
        <v>102</v>
      </c>
      <c r="F3" s="19" t="s">
        <v>103</v>
      </c>
      <c r="G3" s="19" t="str">
        <f t="shared" ref="G3:G16" ca="1" si="0">IF(D3="","",IF(D3&lt;TODAY(),"⛔ متأخر "&amp;TODAY()-D3&amp;" يوم",IF(D3=TODAY(),"🔔 مستحق اليوم","⚠ باقي "&amp;D3-TODAY()&amp;" يوم")))</f>
        <v>⚠ باقي 19 يوم</v>
      </c>
      <c r="H3" s="19"/>
      <c r="I3" s="19"/>
    </row>
    <row r="4" spans="1:9" x14ac:dyDescent="0.3">
      <c r="A4" s="19" t="s">
        <v>104</v>
      </c>
      <c r="B4" s="19">
        <v>77838208</v>
      </c>
      <c r="C4" s="32">
        <v>289000</v>
      </c>
      <c r="D4" s="20">
        <v>46372</v>
      </c>
      <c r="E4" s="19" t="s">
        <v>102</v>
      </c>
      <c r="F4" s="19" t="s">
        <v>103</v>
      </c>
      <c r="G4" s="19" t="str">
        <f t="shared" ca="1" si="0"/>
        <v>⚠ باقي 49 يوم</v>
      </c>
      <c r="H4" s="19"/>
      <c r="I4" s="19"/>
    </row>
    <row r="5" spans="1:9" x14ac:dyDescent="0.3">
      <c r="A5" s="19" t="s">
        <v>105</v>
      </c>
      <c r="B5" s="19">
        <v>77838188</v>
      </c>
      <c r="C5" s="32">
        <v>13281.81</v>
      </c>
      <c r="D5" s="20">
        <v>46336</v>
      </c>
      <c r="E5" s="19" t="s">
        <v>102</v>
      </c>
      <c r="F5" s="19" t="s">
        <v>103</v>
      </c>
      <c r="G5" s="19" t="str">
        <f t="shared" ca="1" si="0"/>
        <v>⚠ باقي 13 يوم</v>
      </c>
      <c r="H5" s="19"/>
      <c r="I5" s="19"/>
    </row>
    <row r="6" spans="1:9" x14ac:dyDescent="0.3">
      <c r="A6" s="19"/>
      <c r="B6" s="19"/>
      <c r="C6" s="32"/>
      <c r="D6" s="20"/>
      <c r="E6" s="19"/>
      <c r="F6" s="19"/>
      <c r="G6" s="19" t="str">
        <f t="shared" ca="1" si="0"/>
        <v/>
      </c>
      <c r="H6" s="19"/>
      <c r="I6" s="19"/>
    </row>
    <row r="7" spans="1:9" x14ac:dyDescent="0.3">
      <c r="A7" s="19"/>
      <c r="B7" s="19"/>
      <c r="C7" s="32"/>
      <c r="D7" s="20"/>
      <c r="E7" s="19"/>
      <c r="F7" s="19"/>
      <c r="G7" s="19" t="str">
        <f t="shared" ca="1" si="0"/>
        <v/>
      </c>
      <c r="H7" s="19"/>
      <c r="I7" s="19"/>
    </row>
    <row r="8" spans="1:9" x14ac:dyDescent="0.3">
      <c r="A8" s="19"/>
      <c r="B8" s="19"/>
      <c r="C8" s="32"/>
      <c r="D8" s="20"/>
      <c r="E8" s="19"/>
      <c r="F8" s="19"/>
      <c r="G8" s="19" t="str">
        <f t="shared" ca="1" si="0"/>
        <v/>
      </c>
      <c r="H8" s="19"/>
      <c r="I8" s="19"/>
    </row>
    <row r="9" spans="1:9" x14ac:dyDescent="0.3">
      <c r="A9" s="19"/>
      <c r="B9" s="19"/>
      <c r="C9" s="32"/>
      <c r="D9" s="20"/>
      <c r="E9" s="19"/>
      <c r="F9" s="19"/>
      <c r="G9" s="19" t="str">
        <f t="shared" ca="1" si="0"/>
        <v/>
      </c>
      <c r="H9" s="19"/>
      <c r="I9" s="19"/>
    </row>
    <row r="10" spans="1:9" x14ac:dyDescent="0.3">
      <c r="A10" s="19"/>
      <c r="B10" s="19"/>
      <c r="C10" s="32"/>
      <c r="D10" s="20"/>
      <c r="E10" s="19"/>
      <c r="F10" s="19"/>
      <c r="G10" s="19" t="str">
        <f t="shared" ca="1" si="0"/>
        <v/>
      </c>
      <c r="H10" s="19"/>
      <c r="I10" s="19"/>
    </row>
    <row r="11" spans="1:9" x14ac:dyDescent="0.3">
      <c r="A11" s="19"/>
      <c r="B11" s="19"/>
      <c r="C11" s="32"/>
      <c r="D11" s="20"/>
      <c r="E11" s="19"/>
      <c r="F11" s="19"/>
      <c r="G11" s="19" t="str">
        <f t="shared" ca="1" si="0"/>
        <v/>
      </c>
      <c r="H11" s="19"/>
      <c r="I11" s="19"/>
    </row>
    <row r="12" spans="1:9" x14ac:dyDescent="0.3">
      <c r="A12" s="19"/>
      <c r="B12" s="19"/>
      <c r="C12" s="32"/>
      <c r="D12" s="20"/>
      <c r="E12" s="19"/>
      <c r="F12" s="19"/>
      <c r="G12" s="19" t="str">
        <f t="shared" ca="1" si="0"/>
        <v/>
      </c>
      <c r="H12" s="19"/>
      <c r="I12" s="19"/>
    </row>
    <row r="13" spans="1:9" x14ac:dyDescent="0.3">
      <c r="A13" s="19"/>
      <c r="B13" s="19"/>
      <c r="C13" s="32"/>
      <c r="D13" s="20"/>
      <c r="E13" s="19"/>
      <c r="F13" s="19"/>
      <c r="G13" s="19" t="str">
        <f t="shared" ca="1" si="0"/>
        <v/>
      </c>
      <c r="H13" s="19"/>
      <c r="I13" s="19"/>
    </row>
    <row r="14" spans="1:9" x14ac:dyDescent="0.3">
      <c r="A14" s="19"/>
      <c r="B14" s="19"/>
      <c r="C14" s="32"/>
      <c r="D14" s="20"/>
      <c r="E14" s="19"/>
      <c r="F14" s="19"/>
      <c r="G14" s="19" t="str">
        <f t="shared" ca="1" si="0"/>
        <v/>
      </c>
      <c r="H14" s="19"/>
      <c r="I14" s="19"/>
    </row>
    <row r="15" spans="1:9" x14ac:dyDescent="0.3">
      <c r="A15" s="19"/>
      <c r="B15" s="19"/>
      <c r="C15" s="32"/>
      <c r="D15" s="20"/>
      <c r="E15" s="19"/>
      <c r="F15" s="19"/>
      <c r="G15" s="19" t="str">
        <f t="shared" ca="1" si="0"/>
        <v/>
      </c>
      <c r="H15" s="19"/>
      <c r="I15" s="19"/>
    </row>
    <row r="16" spans="1:9" x14ac:dyDescent="0.3">
      <c r="A16" s="19"/>
      <c r="B16" s="19"/>
      <c r="C16" s="32"/>
      <c r="D16" s="20"/>
      <c r="E16" s="19"/>
      <c r="F16" s="19"/>
      <c r="G16" s="19" t="str">
        <f t="shared" ca="1" si="0"/>
        <v/>
      </c>
      <c r="H16" s="19"/>
      <c r="I16" s="19"/>
    </row>
    <row r="17" spans="1:9" x14ac:dyDescent="0.3">
      <c r="A17" s="19"/>
      <c r="B17" s="19"/>
      <c r="C17" s="32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32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32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32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32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32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32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32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32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32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32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32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32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32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32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32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32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32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32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32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32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32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32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32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32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32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32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32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32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32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32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32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32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32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32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32"/>
      <c r="D52" s="20"/>
      <c r="E52" s="19"/>
      <c r="F52" s="19"/>
      <c r="G52" s="19"/>
      <c r="H52" s="19"/>
      <c r="I52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Q304"/>
  <sheetViews>
    <sheetView rightToLeft="1" workbookViewId="0">
      <selection activeCell="K2" sqref="K2"/>
    </sheetView>
  </sheetViews>
  <sheetFormatPr defaultRowHeight="14.4" x14ac:dyDescent="0.3"/>
  <cols>
    <col min="1" max="1" width="11.21875" style="19" customWidth="1"/>
    <col min="2" max="2" width="11.6640625" style="32" customWidth="1"/>
    <col min="3" max="3" width="10.5546875" style="32" bestFit="1" customWidth="1"/>
    <col min="4" max="4" width="9.44140625" style="31" bestFit="1" customWidth="1"/>
    <col min="5" max="5" width="39.44140625" style="19" customWidth="1"/>
    <col min="6" max="6" width="12.109375" style="19" bestFit="1" customWidth="1"/>
    <col min="7" max="8" width="12.109375" style="33" bestFit="1" customWidth="1"/>
    <col min="9" max="9" width="13" style="33" bestFit="1" customWidth="1"/>
    <col min="10" max="10" width="12.6640625" style="33" bestFit="1" customWidth="1"/>
    <col min="11" max="11" width="8.88671875" style="30" customWidth="1"/>
    <col min="12" max="15" width="8.88671875" style="30"/>
    <col min="16" max="16" width="10.5546875" style="30" bestFit="1" customWidth="1"/>
    <col min="17" max="16384" width="8.88671875" style="30"/>
  </cols>
  <sheetData>
    <row r="2" spans="1:17" x14ac:dyDescent="0.3">
      <c r="A2" s="51" t="s">
        <v>0</v>
      </c>
      <c r="B2" s="51" t="s">
        <v>120</v>
      </c>
      <c r="C2" s="51" t="s">
        <v>121</v>
      </c>
      <c r="D2" s="51" t="s">
        <v>89</v>
      </c>
      <c r="E2" s="51" t="s">
        <v>122</v>
      </c>
      <c r="F2" s="51" t="s">
        <v>87</v>
      </c>
      <c r="G2" s="51" t="s">
        <v>17</v>
      </c>
      <c r="H2" s="51" t="s">
        <v>18</v>
      </c>
      <c r="I2" s="51" t="s">
        <v>108</v>
      </c>
      <c r="J2" s="51"/>
      <c r="K2" s="51"/>
      <c r="L2" s="51"/>
      <c r="M2" s="51"/>
      <c r="N2" s="51"/>
      <c r="O2" s="51"/>
      <c r="P2" s="51"/>
      <c r="Q2" s="51"/>
    </row>
    <row r="3" spans="1:17" x14ac:dyDescent="0.3">
      <c r="A3" s="19" t="s">
        <v>13</v>
      </c>
      <c r="B3" s="32">
        <v>39450</v>
      </c>
      <c r="C3" s="32">
        <v>40300</v>
      </c>
      <c r="D3" s="31">
        <v>1</v>
      </c>
      <c r="E3" s="19" t="s">
        <v>19</v>
      </c>
      <c r="F3" s="86">
        <v>46200</v>
      </c>
      <c r="G3" s="33">
        <v>537703.5</v>
      </c>
      <c r="H3" s="33">
        <v>549289</v>
      </c>
      <c r="I3" s="33">
        <v>13.63</v>
      </c>
      <c r="P3" s="58"/>
    </row>
    <row r="4" spans="1:17" x14ac:dyDescent="0.3">
      <c r="A4" s="19" t="s">
        <v>13</v>
      </c>
      <c r="B4" s="32">
        <v>39450</v>
      </c>
      <c r="C4" s="32">
        <v>40300</v>
      </c>
      <c r="D4" s="31">
        <v>1</v>
      </c>
      <c r="F4" s="86">
        <v>46200</v>
      </c>
      <c r="G4" s="33">
        <v>1384300.5000000002</v>
      </c>
      <c r="H4" s="33">
        <v>1414127.0000000002</v>
      </c>
      <c r="I4" s="33">
        <v>35.090000000000003</v>
      </c>
      <c r="P4" s="58"/>
    </row>
    <row r="5" spans="1:17" x14ac:dyDescent="0.3">
      <c r="A5" s="19" t="s">
        <v>15</v>
      </c>
      <c r="B5" s="32">
        <v>41000</v>
      </c>
      <c r="C5" s="32">
        <v>42500</v>
      </c>
      <c r="D5" s="31">
        <v>19</v>
      </c>
      <c r="E5" s="19" t="s">
        <v>19</v>
      </c>
      <c r="F5" s="86">
        <v>46209</v>
      </c>
      <c r="G5" s="33">
        <v>559240</v>
      </c>
      <c r="H5" s="33">
        <v>579700</v>
      </c>
      <c r="I5" s="33">
        <v>13.64</v>
      </c>
      <c r="P5" s="58"/>
    </row>
    <row r="6" spans="1:17" x14ac:dyDescent="0.3">
      <c r="A6" s="19" t="s">
        <v>15</v>
      </c>
      <c r="B6" s="32">
        <v>41000</v>
      </c>
      <c r="C6" s="32">
        <v>42500</v>
      </c>
      <c r="D6" s="31">
        <v>19</v>
      </c>
      <c r="F6" s="86">
        <v>46209</v>
      </c>
      <c r="G6" s="33">
        <v>558420</v>
      </c>
      <c r="H6" s="33">
        <v>578850</v>
      </c>
      <c r="I6" s="33">
        <v>13.62</v>
      </c>
      <c r="P6" s="58"/>
    </row>
    <row r="7" spans="1:17" x14ac:dyDescent="0.3">
      <c r="A7" s="19" t="s">
        <v>15</v>
      </c>
      <c r="B7" s="32">
        <v>41000</v>
      </c>
      <c r="C7" s="32">
        <v>42500</v>
      </c>
      <c r="D7" s="31">
        <v>19</v>
      </c>
      <c r="F7" s="86">
        <v>46209</v>
      </c>
      <c r="G7" s="33">
        <v>1205400</v>
      </c>
      <c r="H7" s="33">
        <v>1249500</v>
      </c>
      <c r="I7" s="33">
        <v>29.4</v>
      </c>
      <c r="P7" s="58"/>
    </row>
    <row r="8" spans="1:17" x14ac:dyDescent="0.3">
      <c r="A8" s="19" t="s">
        <v>15</v>
      </c>
      <c r="B8" s="32">
        <v>41000</v>
      </c>
      <c r="C8" s="32">
        <v>42500</v>
      </c>
      <c r="D8" s="31">
        <v>19</v>
      </c>
      <c r="F8" s="86">
        <v>46209</v>
      </c>
      <c r="G8" s="33">
        <v>638780</v>
      </c>
      <c r="H8" s="33">
        <v>662150</v>
      </c>
      <c r="I8" s="33">
        <v>15.58</v>
      </c>
      <c r="P8" s="58"/>
    </row>
    <row r="9" spans="1:17" x14ac:dyDescent="0.3">
      <c r="A9" s="19" t="s">
        <v>8</v>
      </c>
      <c r="B9" s="32">
        <v>40000</v>
      </c>
      <c r="C9" s="32">
        <v>40200</v>
      </c>
      <c r="D9" s="31">
        <v>3</v>
      </c>
      <c r="E9" s="19" t="s">
        <v>20</v>
      </c>
      <c r="F9" s="86">
        <v>46211</v>
      </c>
      <c r="G9" s="33">
        <v>316800</v>
      </c>
      <c r="H9" s="33">
        <v>318384</v>
      </c>
      <c r="I9" s="33">
        <v>7.92</v>
      </c>
      <c r="P9" s="58"/>
    </row>
    <row r="10" spans="1:17" x14ac:dyDescent="0.3">
      <c r="A10" s="19" t="s">
        <v>8</v>
      </c>
      <c r="B10" s="32">
        <v>40000</v>
      </c>
      <c r="C10" s="32">
        <v>40200</v>
      </c>
      <c r="D10" s="31">
        <v>3</v>
      </c>
      <c r="F10" s="86">
        <v>46211</v>
      </c>
      <c r="G10" s="33">
        <v>1030400.0000000001</v>
      </c>
      <c r="H10" s="33">
        <v>1035552.0000000001</v>
      </c>
      <c r="I10" s="33">
        <v>25.76</v>
      </c>
      <c r="P10" s="58"/>
    </row>
    <row r="11" spans="1:17" x14ac:dyDescent="0.3">
      <c r="A11" s="19" t="s">
        <v>8</v>
      </c>
      <c r="B11" s="32">
        <v>40000</v>
      </c>
      <c r="C11" s="32">
        <v>40200</v>
      </c>
      <c r="D11" s="31">
        <v>3</v>
      </c>
      <c r="F11" s="86">
        <v>46211</v>
      </c>
      <c r="G11" s="33">
        <v>389600</v>
      </c>
      <c r="H11" s="33">
        <v>391548</v>
      </c>
      <c r="I11" s="33">
        <v>9.74</v>
      </c>
      <c r="P11" s="58"/>
    </row>
    <row r="12" spans="1:17" x14ac:dyDescent="0.3">
      <c r="A12" s="19" t="s">
        <v>8</v>
      </c>
      <c r="B12" s="32">
        <v>40000</v>
      </c>
      <c r="C12" s="32">
        <v>40200</v>
      </c>
      <c r="D12" s="31">
        <v>3</v>
      </c>
      <c r="F12" s="86">
        <v>46211</v>
      </c>
      <c r="G12" s="33">
        <v>257000</v>
      </c>
      <c r="H12" s="33">
        <v>258285</v>
      </c>
      <c r="I12" s="33">
        <v>6.4249999999999998</v>
      </c>
      <c r="P12" s="58"/>
    </row>
    <row r="13" spans="1:17" x14ac:dyDescent="0.3">
      <c r="A13" s="19" t="s">
        <v>8</v>
      </c>
      <c r="B13" s="32">
        <v>40000</v>
      </c>
      <c r="C13" s="32">
        <v>40200</v>
      </c>
      <c r="D13" s="31">
        <v>3</v>
      </c>
      <c r="F13" s="86">
        <v>46211</v>
      </c>
      <c r="G13" s="33">
        <v>791600</v>
      </c>
      <c r="H13" s="33">
        <v>795558</v>
      </c>
      <c r="I13" s="33">
        <v>19.79</v>
      </c>
      <c r="P13" s="58"/>
    </row>
    <row r="14" spans="1:17" x14ac:dyDescent="0.3">
      <c r="A14" s="19" t="s">
        <v>8</v>
      </c>
      <c r="B14" s="32">
        <v>40000</v>
      </c>
      <c r="C14" s="32">
        <v>40200</v>
      </c>
      <c r="D14" s="31">
        <v>3</v>
      </c>
      <c r="F14" s="86">
        <v>46211</v>
      </c>
      <c r="G14" s="33">
        <v>790800</v>
      </c>
      <c r="H14" s="33">
        <v>794754</v>
      </c>
      <c r="I14" s="33">
        <v>19.77</v>
      </c>
      <c r="P14" s="58"/>
    </row>
    <row r="15" spans="1:17" x14ac:dyDescent="0.3">
      <c r="A15" s="19" t="s">
        <v>8</v>
      </c>
      <c r="B15" s="32">
        <v>40000</v>
      </c>
      <c r="C15" s="32">
        <v>40200</v>
      </c>
      <c r="D15" s="31">
        <v>3</v>
      </c>
      <c r="F15" s="86">
        <v>46211</v>
      </c>
      <c r="G15" s="33">
        <v>77600</v>
      </c>
      <c r="H15" s="33">
        <v>77988</v>
      </c>
      <c r="I15" s="33">
        <v>1.94</v>
      </c>
      <c r="P15" s="58"/>
    </row>
    <row r="16" spans="1:17" x14ac:dyDescent="0.3">
      <c r="A16" s="19" t="s">
        <v>8</v>
      </c>
      <c r="B16" s="32">
        <v>40000</v>
      </c>
      <c r="C16" s="32">
        <v>40200</v>
      </c>
      <c r="D16" s="31">
        <v>3</v>
      </c>
      <c r="F16" s="86">
        <v>46211</v>
      </c>
      <c r="G16" s="33">
        <v>192000</v>
      </c>
      <c r="H16" s="33">
        <v>192960</v>
      </c>
      <c r="I16" s="33">
        <v>4.8</v>
      </c>
      <c r="P16" s="58"/>
    </row>
    <row r="17" spans="1:16" x14ac:dyDescent="0.3">
      <c r="A17" s="19" t="s">
        <v>8</v>
      </c>
      <c r="B17" s="32">
        <v>40000</v>
      </c>
      <c r="C17" s="32">
        <v>40200</v>
      </c>
      <c r="D17" s="31">
        <v>3</v>
      </c>
      <c r="F17" s="86">
        <v>46211</v>
      </c>
      <c r="G17" s="33">
        <v>236400</v>
      </c>
      <c r="H17" s="33">
        <v>237582</v>
      </c>
      <c r="I17" s="33">
        <v>5.91</v>
      </c>
      <c r="P17" s="58"/>
    </row>
    <row r="18" spans="1:16" x14ac:dyDescent="0.3">
      <c r="A18" s="19" t="s">
        <v>8</v>
      </c>
      <c r="B18" s="32">
        <v>40000</v>
      </c>
      <c r="C18" s="32">
        <v>40200</v>
      </c>
      <c r="D18" s="31">
        <v>3</v>
      </c>
      <c r="F18" s="86">
        <v>46211</v>
      </c>
      <c r="G18" s="33">
        <v>872000</v>
      </c>
      <c r="H18" s="33">
        <v>876360</v>
      </c>
      <c r="I18" s="33">
        <v>21.8</v>
      </c>
      <c r="P18" s="58"/>
    </row>
    <row r="19" spans="1:16" x14ac:dyDescent="0.3">
      <c r="A19" s="19" t="s">
        <v>8</v>
      </c>
      <c r="B19" s="32">
        <v>40000</v>
      </c>
      <c r="C19" s="32">
        <v>40200</v>
      </c>
      <c r="D19" s="31">
        <v>3</v>
      </c>
      <c r="F19" s="86">
        <v>46211</v>
      </c>
      <c r="G19" s="33">
        <v>625200</v>
      </c>
      <c r="H19" s="33">
        <v>628326</v>
      </c>
      <c r="I19" s="33">
        <v>15.63</v>
      </c>
      <c r="P19" s="58"/>
    </row>
    <row r="20" spans="1:16" x14ac:dyDescent="0.3">
      <c r="A20" s="19" t="s">
        <v>8</v>
      </c>
      <c r="B20" s="32">
        <v>40000</v>
      </c>
      <c r="C20" s="32">
        <v>40200</v>
      </c>
      <c r="D20" s="31">
        <v>3</v>
      </c>
      <c r="F20" s="86">
        <v>46211</v>
      </c>
      <c r="G20" s="33">
        <v>254800</v>
      </c>
      <c r="H20" s="33">
        <v>256074</v>
      </c>
      <c r="I20" s="33">
        <v>6.37</v>
      </c>
      <c r="P20" s="58"/>
    </row>
    <row r="21" spans="1:16" x14ac:dyDescent="0.3">
      <c r="A21" s="19" t="s">
        <v>8</v>
      </c>
      <c r="B21" s="32">
        <v>40000</v>
      </c>
      <c r="C21" s="32">
        <v>40200</v>
      </c>
      <c r="D21" s="31">
        <v>3</v>
      </c>
      <c r="F21" s="86">
        <v>46211</v>
      </c>
      <c r="G21" s="33">
        <v>314400</v>
      </c>
      <c r="H21" s="33">
        <v>315972</v>
      </c>
      <c r="I21" s="33">
        <v>7.86</v>
      </c>
      <c r="P21" s="58"/>
    </row>
    <row r="22" spans="1:16" x14ac:dyDescent="0.3">
      <c r="A22" s="19" t="s">
        <v>8</v>
      </c>
      <c r="B22" s="32">
        <v>40000</v>
      </c>
      <c r="C22" s="32">
        <v>40200</v>
      </c>
      <c r="D22" s="31">
        <v>3</v>
      </c>
      <c r="F22" s="86">
        <v>46211</v>
      </c>
      <c r="G22" s="33">
        <v>1029599.9999999999</v>
      </c>
      <c r="H22" s="33">
        <v>1034747.9999999999</v>
      </c>
      <c r="I22" s="33">
        <v>25.74</v>
      </c>
      <c r="P22" s="58"/>
    </row>
    <row r="23" spans="1:16" x14ac:dyDescent="0.3">
      <c r="A23" s="19" t="s">
        <v>8</v>
      </c>
      <c r="B23" s="32">
        <v>40000</v>
      </c>
      <c r="C23" s="32">
        <v>40200</v>
      </c>
      <c r="D23" s="31">
        <v>3</v>
      </c>
      <c r="F23" s="86">
        <v>46211</v>
      </c>
      <c r="G23" s="33">
        <v>384799.99999999994</v>
      </c>
      <c r="H23" s="33">
        <v>386723.99999999994</v>
      </c>
      <c r="I23" s="33">
        <v>9.6199999999999992</v>
      </c>
      <c r="P23" s="58"/>
    </row>
    <row r="24" spans="1:16" x14ac:dyDescent="0.3">
      <c r="A24" s="34" t="s">
        <v>8</v>
      </c>
      <c r="B24" s="35">
        <v>40000</v>
      </c>
      <c r="C24" s="35">
        <v>40200</v>
      </c>
      <c r="D24" s="31">
        <v>3</v>
      </c>
      <c r="F24" s="87">
        <v>46211</v>
      </c>
      <c r="G24" s="33">
        <v>255799.99999999997</v>
      </c>
      <c r="H24" s="33">
        <v>257078.99999999997</v>
      </c>
      <c r="I24" s="33">
        <v>6.3949999999999996</v>
      </c>
      <c r="P24" s="58"/>
    </row>
    <row r="25" spans="1:16" x14ac:dyDescent="0.3">
      <c r="A25" s="34" t="s">
        <v>11</v>
      </c>
      <c r="B25" s="35">
        <v>38100</v>
      </c>
      <c r="C25" s="35">
        <v>38100</v>
      </c>
      <c r="D25" s="31">
        <v>18</v>
      </c>
      <c r="E25" s="19" t="s">
        <v>21</v>
      </c>
      <c r="F25" s="87">
        <v>46217</v>
      </c>
      <c r="G25" s="33">
        <v>74295</v>
      </c>
      <c r="H25" s="33">
        <v>74295</v>
      </c>
      <c r="I25" s="33">
        <v>1.95</v>
      </c>
      <c r="P25" s="58"/>
    </row>
    <row r="26" spans="1:16" x14ac:dyDescent="0.3">
      <c r="A26" s="34" t="s">
        <v>11</v>
      </c>
      <c r="B26" s="35">
        <v>38100</v>
      </c>
      <c r="C26" s="35">
        <v>38100</v>
      </c>
      <c r="D26" s="31">
        <v>18</v>
      </c>
      <c r="F26" s="87">
        <v>46217</v>
      </c>
      <c r="G26" s="33">
        <v>1496568</v>
      </c>
      <c r="H26" s="33">
        <v>1496568</v>
      </c>
      <c r="I26" s="33">
        <v>39.28</v>
      </c>
      <c r="P26" s="58"/>
    </row>
    <row r="27" spans="1:16" x14ac:dyDescent="0.3">
      <c r="A27" s="34" t="s">
        <v>11</v>
      </c>
      <c r="B27" s="35">
        <v>38100</v>
      </c>
      <c r="C27" s="35">
        <v>38100</v>
      </c>
      <c r="D27" s="31">
        <v>18</v>
      </c>
      <c r="F27" s="87">
        <v>46217</v>
      </c>
      <c r="G27" s="33">
        <v>374523</v>
      </c>
      <c r="H27" s="33">
        <v>374523</v>
      </c>
      <c r="I27" s="33">
        <v>9.83</v>
      </c>
      <c r="P27" s="58"/>
    </row>
    <row r="28" spans="1:16" x14ac:dyDescent="0.3">
      <c r="A28" s="34" t="s">
        <v>11</v>
      </c>
      <c r="B28" s="35">
        <v>38100</v>
      </c>
      <c r="C28" s="35">
        <v>38100</v>
      </c>
      <c r="D28" s="31">
        <v>18</v>
      </c>
      <c r="F28" s="87">
        <v>46217</v>
      </c>
      <c r="G28" s="33">
        <v>2649474.0000000005</v>
      </c>
      <c r="H28" s="33">
        <v>2649474.0000000005</v>
      </c>
      <c r="I28" s="33">
        <v>69.540000000000006</v>
      </c>
      <c r="P28" s="58"/>
    </row>
    <row r="29" spans="1:16" x14ac:dyDescent="0.3">
      <c r="A29" s="34" t="s">
        <v>22</v>
      </c>
      <c r="B29" s="35">
        <v>37500</v>
      </c>
      <c r="C29" s="35">
        <v>37600</v>
      </c>
      <c r="D29" s="31" t="s">
        <v>23</v>
      </c>
      <c r="E29" s="19" t="s">
        <v>24</v>
      </c>
      <c r="F29" s="87">
        <v>46221</v>
      </c>
      <c r="G29" s="33">
        <v>895875</v>
      </c>
      <c r="H29" s="33">
        <v>898264</v>
      </c>
      <c r="I29" s="33">
        <v>23.89</v>
      </c>
      <c r="P29" s="58"/>
    </row>
    <row r="30" spans="1:16" x14ac:dyDescent="0.3">
      <c r="A30" s="34" t="s">
        <v>22</v>
      </c>
      <c r="B30" s="35">
        <v>37500</v>
      </c>
      <c r="C30" s="35">
        <v>37600</v>
      </c>
      <c r="D30" s="31" t="s">
        <v>23</v>
      </c>
      <c r="F30" s="87">
        <v>46221</v>
      </c>
      <c r="G30" s="33">
        <v>443250</v>
      </c>
      <c r="H30" s="33">
        <v>444432</v>
      </c>
      <c r="I30" s="33">
        <v>11.82</v>
      </c>
      <c r="P30" s="58"/>
    </row>
    <row r="31" spans="1:16" x14ac:dyDescent="0.3">
      <c r="A31" s="34" t="s">
        <v>22</v>
      </c>
      <c r="B31" s="35">
        <v>37500</v>
      </c>
      <c r="C31" s="35">
        <v>37600</v>
      </c>
      <c r="D31" s="31" t="s">
        <v>23</v>
      </c>
      <c r="F31" s="87">
        <v>46221</v>
      </c>
      <c r="G31" s="33">
        <v>805125</v>
      </c>
      <c r="H31" s="33">
        <v>807272</v>
      </c>
      <c r="I31" s="33">
        <v>21.47</v>
      </c>
      <c r="P31" s="58"/>
    </row>
    <row r="32" spans="1:16" x14ac:dyDescent="0.3">
      <c r="A32" s="34" t="s">
        <v>22</v>
      </c>
      <c r="B32" s="35">
        <v>37500</v>
      </c>
      <c r="C32" s="35">
        <v>37600</v>
      </c>
      <c r="D32" s="31" t="s">
        <v>23</v>
      </c>
      <c r="F32" s="87">
        <v>46217</v>
      </c>
      <c r="G32" s="33">
        <v>1117125</v>
      </c>
      <c r="H32" s="33">
        <v>1120104</v>
      </c>
      <c r="I32" s="33">
        <v>29.79</v>
      </c>
      <c r="P32" s="58"/>
    </row>
    <row r="33" spans="1:16" x14ac:dyDescent="0.3">
      <c r="A33" s="34" t="s">
        <v>22</v>
      </c>
      <c r="B33" s="35">
        <v>37500</v>
      </c>
      <c r="C33" s="35">
        <v>37600</v>
      </c>
      <c r="D33" s="31" t="s">
        <v>23</v>
      </c>
      <c r="F33" s="87">
        <v>46217</v>
      </c>
      <c r="G33" s="33">
        <v>1248375</v>
      </c>
      <c r="H33" s="33">
        <v>1251704</v>
      </c>
      <c r="I33" s="33">
        <v>33.29</v>
      </c>
      <c r="P33" s="58"/>
    </row>
    <row r="34" spans="1:16" x14ac:dyDescent="0.3">
      <c r="A34" s="34" t="s">
        <v>22</v>
      </c>
      <c r="B34" s="35">
        <v>37500</v>
      </c>
      <c r="C34" s="35">
        <v>37600</v>
      </c>
      <c r="D34" s="31" t="s">
        <v>23</v>
      </c>
      <c r="F34" s="87">
        <v>46217</v>
      </c>
      <c r="G34" s="33">
        <v>1920000</v>
      </c>
      <c r="H34" s="33">
        <v>1925120</v>
      </c>
      <c r="I34" s="33">
        <v>51.2</v>
      </c>
      <c r="P34" s="58"/>
    </row>
    <row r="35" spans="1:16" x14ac:dyDescent="0.3">
      <c r="A35" s="19" t="s">
        <v>22</v>
      </c>
      <c r="B35" s="32">
        <v>37500</v>
      </c>
      <c r="C35" s="32">
        <v>37600</v>
      </c>
      <c r="D35" s="31" t="s">
        <v>23</v>
      </c>
      <c r="F35" s="86">
        <v>46217</v>
      </c>
      <c r="G35" s="33">
        <v>438000</v>
      </c>
      <c r="H35" s="33">
        <v>439168</v>
      </c>
      <c r="I35" s="33">
        <v>11.68</v>
      </c>
      <c r="P35" s="58"/>
    </row>
    <row r="36" spans="1:16" x14ac:dyDescent="0.3">
      <c r="A36" s="19" t="s">
        <v>22</v>
      </c>
      <c r="B36" s="32">
        <v>37500</v>
      </c>
      <c r="C36" s="32">
        <v>37600</v>
      </c>
      <c r="D36" s="31" t="s">
        <v>23</v>
      </c>
      <c r="F36" s="86">
        <v>46217</v>
      </c>
      <c r="G36" s="33">
        <v>292500</v>
      </c>
      <c r="H36" s="33">
        <v>293280</v>
      </c>
      <c r="I36" s="33">
        <v>7.8</v>
      </c>
      <c r="P36" s="58"/>
    </row>
    <row r="37" spans="1:16" x14ac:dyDescent="0.3">
      <c r="A37" s="19" t="s">
        <v>22</v>
      </c>
      <c r="B37" s="32">
        <v>37500</v>
      </c>
      <c r="C37" s="32">
        <v>37600</v>
      </c>
      <c r="D37" s="31" t="s">
        <v>23</v>
      </c>
      <c r="F37" s="86">
        <v>46217</v>
      </c>
      <c r="G37" s="33">
        <v>807750</v>
      </c>
      <c r="H37" s="33">
        <v>809904</v>
      </c>
      <c r="I37" s="33">
        <v>21.54</v>
      </c>
      <c r="P37" s="58"/>
    </row>
    <row r="38" spans="1:16" x14ac:dyDescent="0.3">
      <c r="A38" s="19" t="s">
        <v>22</v>
      </c>
      <c r="B38" s="32">
        <v>37500</v>
      </c>
      <c r="C38" s="32">
        <v>37600</v>
      </c>
      <c r="D38" s="31" t="s">
        <v>23</v>
      </c>
      <c r="F38" s="86">
        <v>46217</v>
      </c>
      <c r="G38" s="33">
        <v>295500</v>
      </c>
      <c r="H38" s="33">
        <v>296288</v>
      </c>
      <c r="I38" s="33">
        <v>7.88</v>
      </c>
      <c r="P38" s="58"/>
    </row>
    <row r="39" spans="1:16" x14ac:dyDescent="0.3">
      <c r="A39" s="19" t="s">
        <v>22</v>
      </c>
      <c r="B39" s="32">
        <v>37500</v>
      </c>
      <c r="C39" s="32">
        <v>37600</v>
      </c>
      <c r="D39" s="31" t="s">
        <v>23</v>
      </c>
      <c r="F39" s="86">
        <v>46217</v>
      </c>
      <c r="G39" s="33">
        <v>120000</v>
      </c>
      <c r="H39" s="33">
        <v>120320</v>
      </c>
      <c r="I39" s="33">
        <v>3.2</v>
      </c>
      <c r="P39" s="58"/>
    </row>
    <row r="40" spans="1:16" x14ac:dyDescent="0.3">
      <c r="A40" s="19" t="s">
        <v>22</v>
      </c>
      <c r="B40" s="32">
        <v>37500</v>
      </c>
      <c r="C40" s="32">
        <v>37600</v>
      </c>
      <c r="D40" s="31" t="s">
        <v>23</v>
      </c>
      <c r="F40" s="86">
        <v>46217</v>
      </c>
      <c r="G40" s="33">
        <v>1856250</v>
      </c>
      <c r="H40" s="33">
        <v>1861200</v>
      </c>
      <c r="I40" s="33">
        <v>49.5</v>
      </c>
      <c r="P40" s="58"/>
    </row>
    <row r="41" spans="1:16" x14ac:dyDescent="0.3">
      <c r="A41" s="19" t="s">
        <v>22</v>
      </c>
      <c r="B41" s="32">
        <v>37500</v>
      </c>
      <c r="C41" s="32">
        <v>37600</v>
      </c>
      <c r="D41" s="31" t="s">
        <v>23</v>
      </c>
      <c r="F41" s="86">
        <v>46217</v>
      </c>
      <c r="G41" s="33">
        <v>1854000</v>
      </c>
      <c r="H41" s="33">
        <v>1858944</v>
      </c>
      <c r="I41" s="33">
        <v>49.44</v>
      </c>
      <c r="P41" s="58"/>
    </row>
    <row r="42" spans="1:16" x14ac:dyDescent="0.3">
      <c r="A42" s="19" t="s">
        <v>22</v>
      </c>
      <c r="B42" s="32">
        <v>37500</v>
      </c>
      <c r="C42" s="32">
        <v>37600</v>
      </c>
      <c r="D42" s="31" t="s">
        <v>23</v>
      </c>
      <c r="F42" s="86">
        <v>46217</v>
      </c>
      <c r="G42" s="33">
        <v>1462125</v>
      </c>
      <c r="H42" s="33">
        <v>1466024</v>
      </c>
      <c r="I42" s="33">
        <v>38.99</v>
      </c>
      <c r="P42" s="58"/>
    </row>
    <row r="43" spans="1:16" x14ac:dyDescent="0.3">
      <c r="A43" s="19" t="s">
        <v>22</v>
      </c>
      <c r="B43" s="32">
        <v>37500</v>
      </c>
      <c r="C43" s="32">
        <v>37600</v>
      </c>
      <c r="D43" s="31" t="s">
        <v>23</v>
      </c>
      <c r="F43" s="86">
        <v>46217</v>
      </c>
      <c r="G43" s="33">
        <v>588375</v>
      </c>
      <c r="H43" s="33">
        <v>589944</v>
      </c>
      <c r="I43" s="33">
        <v>15.69</v>
      </c>
      <c r="P43" s="58"/>
    </row>
    <row r="44" spans="1:16" x14ac:dyDescent="0.3">
      <c r="A44" s="19" t="s">
        <v>22</v>
      </c>
      <c r="B44" s="32">
        <v>37500</v>
      </c>
      <c r="C44" s="32">
        <v>37600</v>
      </c>
      <c r="D44" s="31" t="s">
        <v>23</v>
      </c>
      <c r="F44" s="86">
        <v>46217</v>
      </c>
      <c r="G44" s="33">
        <v>1976250</v>
      </c>
      <c r="H44" s="33">
        <v>1981520</v>
      </c>
      <c r="I44" s="33">
        <v>52.7</v>
      </c>
      <c r="P44" s="58"/>
    </row>
    <row r="45" spans="1:16" x14ac:dyDescent="0.3">
      <c r="A45" s="19" t="s">
        <v>22</v>
      </c>
      <c r="B45" s="32">
        <v>37500</v>
      </c>
      <c r="C45" s="32">
        <v>37600</v>
      </c>
      <c r="D45" s="31" t="s">
        <v>23</v>
      </c>
      <c r="F45" s="86">
        <v>46217</v>
      </c>
      <c r="G45" s="33">
        <v>1020000</v>
      </c>
      <c r="H45" s="33">
        <v>1022720</v>
      </c>
      <c r="I45" s="33">
        <v>27.2</v>
      </c>
      <c r="P45" s="58"/>
    </row>
    <row r="46" spans="1:16" x14ac:dyDescent="0.3">
      <c r="A46" s="19" t="s">
        <v>22</v>
      </c>
      <c r="B46" s="32">
        <v>37500</v>
      </c>
      <c r="C46" s="32">
        <v>37600</v>
      </c>
      <c r="D46" s="31" t="s">
        <v>23</v>
      </c>
      <c r="F46" s="86">
        <v>46217</v>
      </c>
      <c r="G46" s="33">
        <v>120000</v>
      </c>
      <c r="H46" s="33">
        <v>120320</v>
      </c>
      <c r="I46" s="33">
        <v>3.2</v>
      </c>
      <c r="P46" s="58"/>
    </row>
    <row r="47" spans="1:16" x14ac:dyDescent="0.3">
      <c r="A47" s="19" t="s">
        <v>22</v>
      </c>
      <c r="B47" s="32">
        <v>37500</v>
      </c>
      <c r="C47" s="32">
        <v>37600</v>
      </c>
      <c r="D47" s="31" t="s">
        <v>23</v>
      </c>
      <c r="F47" s="86">
        <v>46217</v>
      </c>
      <c r="G47" s="33">
        <v>120000</v>
      </c>
      <c r="H47" s="33">
        <v>120320</v>
      </c>
      <c r="I47" s="33">
        <v>3.2</v>
      </c>
      <c r="P47" s="58"/>
    </row>
    <row r="48" spans="1:16" x14ac:dyDescent="0.3">
      <c r="A48" s="19" t="s">
        <v>22</v>
      </c>
      <c r="B48" s="32">
        <v>37500</v>
      </c>
      <c r="C48" s="32">
        <v>37600</v>
      </c>
      <c r="D48" s="31" t="s">
        <v>23</v>
      </c>
      <c r="F48" s="86">
        <v>46217</v>
      </c>
      <c r="G48" s="33">
        <v>368625</v>
      </c>
      <c r="H48" s="33">
        <v>369608</v>
      </c>
      <c r="I48" s="33">
        <v>9.83</v>
      </c>
      <c r="P48" s="58"/>
    </row>
    <row r="49" spans="1:16" x14ac:dyDescent="0.3">
      <c r="A49" s="19" t="s">
        <v>22</v>
      </c>
      <c r="B49" s="32">
        <v>37500</v>
      </c>
      <c r="C49" s="32">
        <v>37600</v>
      </c>
      <c r="D49" s="31" t="s">
        <v>23</v>
      </c>
      <c r="F49" s="86">
        <v>46217</v>
      </c>
      <c r="G49" s="33">
        <v>957375</v>
      </c>
      <c r="H49" s="33">
        <v>959928</v>
      </c>
      <c r="I49" s="33">
        <v>25.53</v>
      </c>
      <c r="P49" s="58"/>
    </row>
    <row r="50" spans="1:16" x14ac:dyDescent="0.3">
      <c r="A50" s="19" t="s">
        <v>22</v>
      </c>
      <c r="B50" s="32">
        <v>37500</v>
      </c>
      <c r="C50" s="32">
        <v>37600</v>
      </c>
      <c r="D50" s="31" t="s">
        <v>23</v>
      </c>
      <c r="F50" s="86">
        <v>46217</v>
      </c>
      <c r="G50" s="33">
        <v>733500</v>
      </c>
      <c r="H50" s="33">
        <v>735456</v>
      </c>
      <c r="I50" s="33">
        <v>19.559999999999999</v>
      </c>
      <c r="P50" s="58"/>
    </row>
    <row r="51" spans="1:16" x14ac:dyDescent="0.3">
      <c r="A51" s="19" t="s">
        <v>22</v>
      </c>
      <c r="B51" s="32">
        <v>37500</v>
      </c>
      <c r="C51" s="32">
        <v>37600</v>
      </c>
      <c r="D51" s="31" t="s">
        <v>23</v>
      </c>
      <c r="F51" s="86">
        <v>46217</v>
      </c>
      <c r="G51" s="33">
        <v>2197500</v>
      </c>
      <c r="H51" s="33">
        <v>2203360</v>
      </c>
      <c r="I51" s="33">
        <v>58.6</v>
      </c>
      <c r="P51" s="58"/>
    </row>
    <row r="52" spans="1:16" x14ac:dyDescent="0.3">
      <c r="A52" s="19" t="s">
        <v>22</v>
      </c>
      <c r="B52" s="32">
        <v>37500</v>
      </c>
      <c r="C52" s="32">
        <v>37600</v>
      </c>
      <c r="D52" s="31" t="s">
        <v>23</v>
      </c>
      <c r="F52" s="86">
        <v>46217</v>
      </c>
      <c r="G52" s="33">
        <v>1053750</v>
      </c>
      <c r="H52" s="33">
        <v>1056560</v>
      </c>
      <c r="I52" s="33">
        <v>28.1</v>
      </c>
      <c r="P52" s="58"/>
    </row>
    <row r="53" spans="1:16" x14ac:dyDescent="0.3">
      <c r="A53" s="19" t="s">
        <v>22</v>
      </c>
      <c r="B53" s="32">
        <v>37500</v>
      </c>
      <c r="C53" s="32">
        <v>37600</v>
      </c>
      <c r="D53" s="31" t="s">
        <v>23</v>
      </c>
      <c r="F53" s="86">
        <v>46217</v>
      </c>
      <c r="G53" s="33">
        <v>2089500</v>
      </c>
      <c r="H53" s="33">
        <v>2095072</v>
      </c>
      <c r="I53" s="33">
        <v>55.72</v>
      </c>
      <c r="P53" s="58"/>
    </row>
    <row r="54" spans="1:16" x14ac:dyDescent="0.3">
      <c r="A54" s="19" t="s">
        <v>22</v>
      </c>
      <c r="B54" s="32">
        <v>37500</v>
      </c>
      <c r="C54" s="32">
        <v>37600</v>
      </c>
      <c r="D54" s="31" t="s">
        <v>23</v>
      </c>
      <c r="F54" s="86">
        <v>46217</v>
      </c>
      <c r="G54" s="33">
        <v>573000</v>
      </c>
      <c r="H54" s="33">
        <v>574528</v>
      </c>
      <c r="I54" s="33">
        <v>15.28</v>
      </c>
      <c r="P54" s="58"/>
    </row>
    <row r="55" spans="1:16" x14ac:dyDescent="0.3">
      <c r="A55" s="19" t="s">
        <v>22</v>
      </c>
      <c r="B55" s="32">
        <v>37500</v>
      </c>
      <c r="C55" s="32">
        <v>37600</v>
      </c>
      <c r="D55" s="31" t="s">
        <v>23</v>
      </c>
      <c r="F55" s="86">
        <v>46217</v>
      </c>
      <c r="G55" s="33">
        <v>1353000</v>
      </c>
      <c r="H55" s="33">
        <v>1356608</v>
      </c>
      <c r="I55" s="33">
        <v>36.08</v>
      </c>
      <c r="P55" s="58"/>
    </row>
    <row r="56" spans="1:16" x14ac:dyDescent="0.3">
      <c r="A56" s="19" t="s">
        <v>22</v>
      </c>
      <c r="B56" s="32">
        <v>37500</v>
      </c>
      <c r="C56" s="32">
        <v>37600</v>
      </c>
      <c r="D56" s="31" t="s">
        <v>23</v>
      </c>
      <c r="F56" s="86">
        <v>46218</v>
      </c>
      <c r="G56" s="33">
        <v>239250</v>
      </c>
      <c r="H56" s="33">
        <v>239888</v>
      </c>
      <c r="I56" s="33">
        <v>6.38</v>
      </c>
      <c r="P56" s="58"/>
    </row>
    <row r="57" spans="1:16" x14ac:dyDescent="0.3">
      <c r="A57" s="19" t="s">
        <v>22</v>
      </c>
      <c r="B57" s="32">
        <v>37500</v>
      </c>
      <c r="C57" s="32">
        <v>37600</v>
      </c>
      <c r="D57" s="31" t="s">
        <v>23</v>
      </c>
      <c r="F57" s="86">
        <v>46218</v>
      </c>
      <c r="G57" s="33">
        <v>119250</v>
      </c>
      <c r="H57" s="33">
        <v>119568</v>
      </c>
      <c r="I57" s="33">
        <v>3.18</v>
      </c>
      <c r="P57" s="58"/>
    </row>
    <row r="58" spans="1:16" x14ac:dyDescent="0.3">
      <c r="A58" s="19" t="s">
        <v>22</v>
      </c>
      <c r="B58" s="32">
        <v>37500</v>
      </c>
      <c r="C58" s="32">
        <v>37600</v>
      </c>
      <c r="D58" s="31" t="s">
        <v>23</v>
      </c>
      <c r="F58" s="86">
        <v>46218</v>
      </c>
      <c r="G58" s="33">
        <v>1832250</v>
      </c>
      <c r="H58" s="33">
        <v>1837136</v>
      </c>
      <c r="I58" s="33">
        <v>48.86</v>
      </c>
      <c r="P58" s="58"/>
    </row>
    <row r="59" spans="1:16" x14ac:dyDescent="0.3">
      <c r="A59" s="19" t="s">
        <v>22</v>
      </c>
      <c r="B59" s="32">
        <v>37500</v>
      </c>
      <c r="C59" s="32">
        <v>37600</v>
      </c>
      <c r="D59" s="31" t="s">
        <v>23</v>
      </c>
      <c r="F59" s="86">
        <v>46218</v>
      </c>
      <c r="G59" s="33">
        <v>1492875</v>
      </c>
      <c r="H59" s="33">
        <v>1496856</v>
      </c>
      <c r="I59" s="33">
        <v>39.81</v>
      </c>
      <c r="P59" s="58"/>
    </row>
    <row r="60" spans="1:16" x14ac:dyDescent="0.3">
      <c r="A60" s="19" t="s">
        <v>22</v>
      </c>
      <c r="B60" s="32">
        <v>37500</v>
      </c>
      <c r="C60" s="32">
        <v>37600</v>
      </c>
      <c r="D60" s="31" t="s">
        <v>23</v>
      </c>
      <c r="F60" s="86">
        <v>46218</v>
      </c>
      <c r="G60" s="33">
        <v>148500</v>
      </c>
      <c r="H60" s="33">
        <v>148896</v>
      </c>
      <c r="I60" s="33">
        <v>3.96</v>
      </c>
      <c r="P60" s="58"/>
    </row>
    <row r="61" spans="1:16" x14ac:dyDescent="0.3">
      <c r="A61" s="19" t="s">
        <v>22</v>
      </c>
      <c r="B61" s="32">
        <v>37500</v>
      </c>
      <c r="C61" s="32">
        <v>37600</v>
      </c>
      <c r="D61" s="31" t="s">
        <v>23</v>
      </c>
      <c r="F61" s="86">
        <v>46218</v>
      </c>
      <c r="G61" s="33">
        <v>454499.99999999994</v>
      </c>
      <c r="H61" s="33">
        <v>455711.99999999994</v>
      </c>
      <c r="I61" s="33">
        <v>12.12</v>
      </c>
      <c r="P61" s="58"/>
    </row>
    <row r="62" spans="1:16" x14ac:dyDescent="0.3">
      <c r="A62" s="19" t="s">
        <v>22</v>
      </c>
      <c r="B62" s="32">
        <v>37500</v>
      </c>
      <c r="C62" s="32">
        <v>37600</v>
      </c>
      <c r="D62" s="31" t="s">
        <v>23</v>
      </c>
      <c r="F62" s="86">
        <v>46218</v>
      </c>
      <c r="G62" s="33">
        <v>215625</v>
      </c>
      <c r="H62" s="33">
        <v>216200</v>
      </c>
      <c r="I62" s="33">
        <v>5.75</v>
      </c>
      <c r="P62" s="58"/>
    </row>
    <row r="63" spans="1:16" x14ac:dyDescent="0.3">
      <c r="A63" s="19" t="s">
        <v>22</v>
      </c>
      <c r="B63" s="32">
        <v>37500</v>
      </c>
      <c r="C63" s="32">
        <v>37600</v>
      </c>
      <c r="D63" s="31" t="s">
        <v>23</v>
      </c>
      <c r="F63" s="86">
        <v>46217</v>
      </c>
      <c r="G63" s="33">
        <v>875250</v>
      </c>
      <c r="H63" s="33">
        <v>877584</v>
      </c>
      <c r="I63" s="33">
        <v>23.34</v>
      </c>
      <c r="P63" s="58"/>
    </row>
    <row r="64" spans="1:16" x14ac:dyDescent="0.3">
      <c r="A64" s="19" t="s">
        <v>22</v>
      </c>
      <c r="B64" s="32">
        <v>37500</v>
      </c>
      <c r="C64" s="32">
        <v>37600</v>
      </c>
      <c r="D64" s="31" t="s">
        <v>23</v>
      </c>
      <c r="F64" s="86">
        <v>46217</v>
      </c>
      <c r="G64" s="33">
        <v>725625</v>
      </c>
      <c r="H64" s="33">
        <v>727560</v>
      </c>
      <c r="I64" s="33">
        <v>19.350000000000001</v>
      </c>
      <c r="P64" s="58"/>
    </row>
    <row r="65" spans="1:16" x14ac:dyDescent="0.3">
      <c r="A65" s="19" t="s">
        <v>22</v>
      </c>
      <c r="B65" s="32">
        <v>37500</v>
      </c>
      <c r="C65" s="32">
        <v>37600</v>
      </c>
      <c r="D65" s="31" t="s">
        <v>23</v>
      </c>
      <c r="F65" s="86">
        <v>46217</v>
      </c>
      <c r="G65" s="33">
        <v>379875.00000000006</v>
      </c>
      <c r="H65" s="33">
        <v>380888.00000000006</v>
      </c>
      <c r="I65" s="33">
        <v>10.130000000000001</v>
      </c>
      <c r="P65" s="58"/>
    </row>
    <row r="66" spans="1:16" x14ac:dyDescent="0.3">
      <c r="A66" s="19" t="s">
        <v>22</v>
      </c>
      <c r="B66" s="32">
        <v>37500</v>
      </c>
      <c r="C66" s="32">
        <v>37600</v>
      </c>
      <c r="D66" s="31" t="s">
        <v>25</v>
      </c>
      <c r="E66" s="19" t="s">
        <v>24</v>
      </c>
      <c r="F66" s="86">
        <v>46218</v>
      </c>
      <c r="G66" s="33">
        <v>119250</v>
      </c>
      <c r="H66" s="33">
        <v>119568</v>
      </c>
      <c r="I66" s="33">
        <v>3.18</v>
      </c>
      <c r="P66" s="58"/>
    </row>
    <row r="67" spans="1:16" x14ac:dyDescent="0.3">
      <c r="A67" s="19" t="s">
        <v>22</v>
      </c>
      <c r="B67" s="32">
        <v>37500</v>
      </c>
      <c r="C67" s="32">
        <v>37600</v>
      </c>
      <c r="D67" s="31" t="s">
        <v>25</v>
      </c>
      <c r="F67" s="86">
        <v>46218</v>
      </c>
      <c r="G67" s="33">
        <v>743624.99999999988</v>
      </c>
      <c r="H67" s="33">
        <v>745607.99999999988</v>
      </c>
      <c r="I67" s="33">
        <v>19.829999999999998</v>
      </c>
      <c r="P67" s="58"/>
    </row>
    <row r="68" spans="1:16" x14ac:dyDescent="0.3">
      <c r="A68" s="19" t="s">
        <v>22</v>
      </c>
      <c r="B68" s="32">
        <v>37500</v>
      </c>
      <c r="C68" s="32">
        <v>37600</v>
      </c>
      <c r="D68" s="31" t="s">
        <v>25</v>
      </c>
      <c r="F68" s="86">
        <v>46218</v>
      </c>
      <c r="G68" s="33">
        <v>664125</v>
      </c>
      <c r="H68" s="33">
        <v>665896</v>
      </c>
      <c r="I68" s="33">
        <v>17.71</v>
      </c>
      <c r="P68" s="58"/>
    </row>
    <row r="69" spans="1:16" x14ac:dyDescent="0.3">
      <c r="A69" s="19" t="s">
        <v>22</v>
      </c>
      <c r="B69" s="32">
        <v>37500</v>
      </c>
      <c r="C69" s="32">
        <v>37600</v>
      </c>
      <c r="D69" s="31" t="s">
        <v>25</v>
      </c>
      <c r="F69" s="86">
        <v>46218</v>
      </c>
      <c r="G69" s="33">
        <v>365250</v>
      </c>
      <c r="H69" s="33">
        <v>366224</v>
      </c>
      <c r="I69" s="33">
        <v>9.74</v>
      </c>
      <c r="P69" s="58"/>
    </row>
    <row r="70" spans="1:16" x14ac:dyDescent="0.3">
      <c r="A70" s="19" t="s">
        <v>22</v>
      </c>
      <c r="B70" s="32">
        <v>37500</v>
      </c>
      <c r="C70" s="32">
        <v>37600</v>
      </c>
      <c r="D70" s="31" t="s">
        <v>25</v>
      </c>
      <c r="F70" s="86">
        <v>46218</v>
      </c>
      <c r="G70" s="33">
        <v>758999.99999999988</v>
      </c>
      <c r="H70" s="33">
        <v>761023.99999999988</v>
      </c>
      <c r="I70" s="33">
        <v>20.239999999999998</v>
      </c>
      <c r="P70" s="58"/>
    </row>
    <row r="71" spans="1:16" x14ac:dyDescent="0.3">
      <c r="A71" s="19" t="s">
        <v>22</v>
      </c>
      <c r="B71" s="32">
        <v>37500</v>
      </c>
      <c r="C71" s="32">
        <v>37600</v>
      </c>
      <c r="D71" s="31" t="s">
        <v>25</v>
      </c>
      <c r="F71" s="86">
        <v>46217</v>
      </c>
      <c r="G71" s="33">
        <v>120000</v>
      </c>
      <c r="H71" s="33">
        <v>120320</v>
      </c>
      <c r="I71" s="33">
        <v>3.2</v>
      </c>
      <c r="P71" s="58"/>
    </row>
    <row r="72" spans="1:16" x14ac:dyDescent="0.3">
      <c r="A72" s="19" t="s">
        <v>22</v>
      </c>
      <c r="B72" s="32">
        <v>37500</v>
      </c>
      <c r="C72" s="32">
        <v>37600</v>
      </c>
      <c r="D72" s="31" t="s">
        <v>25</v>
      </c>
      <c r="F72" s="86">
        <v>46217</v>
      </c>
      <c r="G72" s="33">
        <v>518625</v>
      </c>
      <c r="H72" s="33">
        <v>520008</v>
      </c>
      <c r="I72" s="33">
        <v>13.83</v>
      </c>
      <c r="P72" s="58"/>
    </row>
    <row r="73" spans="1:16" x14ac:dyDescent="0.3">
      <c r="A73" s="19" t="s">
        <v>22</v>
      </c>
      <c r="B73" s="32">
        <v>37500</v>
      </c>
      <c r="C73" s="32">
        <v>37600</v>
      </c>
      <c r="D73" s="31" t="s">
        <v>25</v>
      </c>
      <c r="F73" s="86">
        <v>46217</v>
      </c>
      <c r="G73" s="33">
        <v>222000</v>
      </c>
      <c r="H73" s="33">
        <v>222592</v>
      </c>
      <c r="I73" s="33">
        <v>5.92</v>
      </c>
      <c r="P73" s="58"/>
    </row>
    <row r="74" spans="1:16" x14ac:dyDescent="0.3">
      <c r="A74" s="19" t="s">
        <v>22</v>
      </c>
      <c r="B74" s="32">
        <v>37500</v>
      </c>
      <c r="C74" s="32">
        <v>37600</v>
      </c>
      <c r="D74" s="31" t="s">
        <v>25</v>
      </c>
      <c r="F74" s="86">
        <v>46217</v>
      </c>
      <c r="G74" s="33">
        <v>1179375</v>
      </c>
      <c r="H74" s="33">
        <v>1182520</v>
      </c>
      <c r="I74" s="33">
        <v>31.45</v>
      </c>
      <c r="P74" s="58"/>
    </row>
    <row r="75" spans="1:16" x14ac:dyDescent="0.3">
      <c r="A75" s="19" t="s">
        <v>22</v>
      </c>
      <c r="B75" s="32">
        <v>37500</v>
      </c>
      <c r="C75" s="32">
        <v>37600</v>
      </c>
      <c r="D75" s="31" t="s">
        <v>25</v>
      </c>
      <c r="F75" s="86">
        <v>46217</v>
      </c>
      <c r="G75" s="33">
        <v>532500</v>
      </c>
      <c r="H75" s="33">
        <v>533920</v>
      </c>
      <c r="I75" s="33">
        <v>14.2</v>
      </c>
      <c r="P75" s="58"/>
    </row>
    <row r="76" spans="1:16" x14ac:dyDescent="0.3">
      <c r="A76" s="19" t="s">
        <v>22</v>
      </c>
      <c r="B76" s="32">
        <v>37500</v>
      </c>
      <c r="C76" s="32">
        <v>37600</v>
      </c>
      <c r="D76" s="31" t="s">
        <v>26</v>
      </c>
      <c r="E76" s="19" t="s">
        <v>24</v>
      </c>
      <c r="F76" s="86">
        <v>46217</v>
      </c>
      <c r="G76" s="33">
        <v>118312.49999999999</v>
      </c>
      <c r="H76" s="33">
        <v>118627.99999999999</v>
      </c>
      <c r="I76" s="33">
        <v>3.1549999999999998</v>
      </c>
      <c r="P76" s="58"/>
    </row>
    <row r="77" spans="1:16" x14ac:dyDescent="0.3">
      <c r="A77" s="19" t="s">
        <v>22</v>
      </c>
      <c r="B77" s="32">
        <v>37500</v>
      </c>
      <c r="C77" s="32">
        <v>37600</v>
      </c>
      <c r="D77" s="31" t="s">
        <v>26</v>
      </c>
      <c r="F77" s="86">
        <v>46217</v>
      </c>
      <c r="G77" s="33">
        <v>370875</v>
      </c>
      <c r="H77" s="33">
        <v>371864</v>
      </c>
      <c r="I77" s="33">
        <v>9.89</v>
      </c>
      <c r="P77" s="58"/>
    </row>
    <row r="78" spans="1:16" x14ac:dyDescent="0.3">
      <c r="A78" s="19" t="s">
        <v>22</v>
      </c>
      <c r="B78" s="32">
        <v>37500</v>
      </c>
      <c r="C78" s="32">
        <v>37600</v>
      </c>
      <c r="D78" s="31" t="s">
        <v>26</v>
      </c>
      <c r="F78" s="86">
        <v>46217</v>
      </c>
      <c r="G78" s="33">
        <v>296062.5</v>
      </c>
      <c r="H78" s="33">
        <v>296852</v>
      </c>
      <c r="I78" s="33">
        <v>7.8949999999999996</v>
      </c>
      <c r="P78" s="58"/>
    </row>
    <row r="79" spans="1:16" x14ac:dyDescent="0.3">
      <c r="A79" s="19" t="s">
        <v>22</v>
      </c>
      <c r="B79" s="32">
        <v>37500</v>
      </c>
      <c r="C79" s="32">
        <v>37600</v>
      </c>
      <c r="D79" s="31" t="s">
        <v>26</v>
      </c>
      <c r="F79" s="86">
        <v>46217</v>
      </c>
      <c r="G79" s="33">
        <v>369562.5</v>
      </c>
      <c r="H79" s="33">
        <v>370548</v>
      </c>
      <c r="I79" s="33">
        <v>9.8550000000000004</v>
      </c>
      <c r="P79" s="58"/>
    </row>
    <row r="80" spans="1:16" x14ac:dyDescent="0.3">
      <c r="A80" s="19" t="s">
        <v>22</v>
      </c>
      <c r="B80" s="32">
        <v>37500</v>
      </c>
      <c r="C80" s="32">
        <v>37600</v>
      </c>
      <c r="D80" s="31" t="s">
        <v>26</v>
      </c>
      <c r="F80" s="86">
        <v>46217</v>
      </c>
      <c r="G80" s="33">
        <v>369000</v>
      </c>
      <c r="H80" s="33">
        <v>369984</v>
      </c>
      <c r="I80" s="33">
        <v>9.84</v>
      </c>
      <c r="P80" s="58"/>
    </row>
    <row r="81" spans="1:16" x14ac:dyDescent="0.3">
      <c r="A81" s="19" t="s">
        <v>22</v>
      </c>
      <c r="B81" s="32">
        <v>37500</v>
      </c>
      <c r="C81" s="32">
        <v>37600</v>
      </c>
      <c r="D81" s="31" t="s">
        <v>26</v>
      </c>
      <c r="F81" s="86">
        <v>46217</v>
      </c>
      <c r="G81" s="33">
        <v>72562.5</v>
      </c>
      <c r="H81" s="33">
        <v>72756</v>
      </c>
      <c r="I81" s="33">
        <v>1.9350000000000001</v>
      </c>
      <c r="P81" s="58"/>
    </row>
    <row r="82" spans="1:16" x14ac:dyDescent="0.3">
      <c r="A82" s="19" t="s">
        <v>22</v>
      </c>
      <c r="B82" s="32">
        <v>37500</v>
      </c>
      <c r="C82" s="32">
        <v>37600</v>
      </c>
      <c r="D82" s="31" t="s">
        <v>26</v>
      </c>
      <c r="F82" s="86">
        <v>46218</v>
      </c>
      <c r="G82" s="33">
        <v>119250</v>
      </c>
      <c r="H82" s="33">
        <v>119568</v>
      </c>
      <c r="I82" s="33">
        <v>3.18</v>
      </c>
      <c r="P82" s="58"/>
    </row>
    <row r="83" spans="1:16" x14ac:dyDescent="0.3">
      <c r="A83" s="19" t="s">
        <v>22</v>
      </c>
      <c r="B83" s="32">
        <v>37500</v>
      </c>
      <c r="C83" s="32">
        <v>37600</v>
      </c>
      <c r="D83" s="31" t="s">
        <v>26</v>
      </c>
      <c r="F83" s="86">
        <v>46218</v>
      </c>
      <c r="G83" s="33">
        <v>596250</v>
      </c>
      <c r="H83" s="33">
        <v>597840</v>
      </c>
      <c r="I83" s="33">
        <v>15.9</v>
      </c>
      <c r="P83" s="58"/>
    </row>
    <row r="84" spans="1:16" x14ac:dyDescent="0.3">
      <c r="A84" s="19" t="s">
        <v>22</v>
      </c>
      <c r="B84" s="32">
        <v>37500</v>
      </c>
      <c r="C84" s="32">
        <v>37600</v>
      </c>
      <c r="D84" s="31" t="s">
        <v>26</v>
      </c>
      <c r="F84" s="86">
        <v>46218</v>
      </c>
      <c r="G84" s="33">
        <v>733125</v>
      </c>
      <c r="H84" s="33">
        <v>735080</v>
      </c>
      <c r="I84" s="33">
        <v>19.55</v>
      </c>
      <c r="P84" s="58"/>
    </row>
    <row r="85" spans="1:16" x14ac:dyDescent="0.3">
      <c r="A85" s="19" t="s">
        <v>22</v>
      </c>
      <c r="B85" s="32">
        <v>37500</v>
      </c>
      <c r="C85" s="32">
        <v>37600</v>
      </c>
      <c r="D85" s="31" t="s">
        <v>26</v>
      </c>
      <c r="F85" s="86">
        <v>46218</v>
      </c>
      <c r="G85" s="33">
        <v>528375</v>
      </c>
      <c r="H85" s="33">
        <v>529784</v>
      </c>
      <c r="I85" s="33">
        <v>14.09</v>
      </c>
      <c r="P85" s="58"/>
    </row>
    <row r="86" spans="1:16" x14ac:dyDescent="0.3">
      <c r="A86" s="19" t="s">
        <v>22</v>
      </c>
      <c r="B86" s="32">
        <v>37500</v>
      </c>
      <c r="C86" s="32">
        <v>37600</v>
      </c>
      <c r="D86" s="31" t="s">
        <v>27</v>
      </c>
      <c r="E86" s="19" t="s">
        <v>24</v>
      </c>
      <c r="F86" s="86">
        <v>46217</v>
      </c>
      <c r="G86" s="33">
        <v>59625</v>
      </c>
      <c r="H86" s="33">
        <v>59784</v>
      </c>
      <c r="I86" s="33">
        <v>1.59</v>
      </c>
      <c r="P86" s="58"/>
    </row>
    <row r="87" spans="1:16" x14ac:dyDescent="0.3">
      <c r="A87" s="19" t="s">
        <v>22</v>
      </c>
      <c r="B87" s="32">
        <v>37500</v>
      </c>
      <c r="C87" s="32">
        <v>37600</v>
      </c>
      <c r="D87" s="31" t="s">
        <v>27</v>
      </c>
      <c r="F87" s="86">
        <v>46217</v>
      </c>
      <c r="G87" s="33">
        <v>1096125</v>
      </c>
      <c r="H87" s="33">
        <v>1099048</v>
      </c>
      <c r="I87" s="33">
        <v>29.23</v>
      </c>
      <c r="P87" s="58"/>
    </row>
    <row r="88" spans="1:16" x14ac:dyDescent="0.3">
      <c r="A88" s="19" t="s">
        <v>22</v>
      </c>
      <c r="B88" s="32">
        <v>37500</v>
      </c>
      <c r="C88" s="32">
        <v>37600</v>
      </c>
      <c r="D88" s="31" t="s">
        <v>27</v>
      </c>
      <c r="F88" s="86">
        <v>46217</v>
      </c>
      <c r="G88" s="33">
        <v>146250</v>
      </c>
      <c r="H88" s="33">
        <v>146640</v>
      </c>
      <c r="I88" s="33">
        <v>3.9</v>
      </c>
      <c r="P88" s="58"/>
    </row>
    <row r="89" spans="1:16" x14ac:dyDescent="0.3">
      <c r="A89" s="19" t="s">
        <v>22</v>
      </c>
      <c r="B89" s="32">
        <v>37500</v>
      </c>
      <c r="C89" s="32">
        <v>37600</v>
      </c>
      <c r="D89" s="31" t="s">
        <v>27</v>
      </c>
      <c r="F89" s="86">
        <v>46217</v>
      </c>
      <c r="G89" s="33">
        <v>808500</v>
      </c>
      <c r="H89" s="33">
        <v>810656</v>
      </c>
      <c r="I89" s="33">
        <v>21.56</v>
      </c>
      <c r="P89" s="58"/>
    </row>
    <row r="90" spans="1:16" x14ac:dyDescent="0.3">
      <c r="A90" s="19" t="s">
        <v>22</v>
      </c>
      <c r="B90" s="32">
        <v>37500</v>
      </c>
      <c r="C90" s="32">
        <v>37600</v>
      </c>
      <c r="D90" s="31" t="s">
        <v>27</v>
      </c>
      <c r="F90" s="86">
        <v>46217</v>
      </c>
      <c r="G90" s="33">
        <v>119625</v>
      </c>
      <c r="H90" s="33">
        <v>119944</v>
      </c>
      <c r="I90" s="33">
        <v>3.19</v>
      </c>
      <c r="P90" s="58"/>
    </row>
    <row r="91" spans="1:16" x14ac:dyDescent="0.3">
      <c r="A91" s="19" t="s">
        <v>22</v>
      </c>
      <c r="B91" s="32">
        <v>37500</v>
      </c>
      <c r="C91" s="32">
        <v>37600</v>
      </c>
      <c r="D91" s="31" t="s">
        <v>27</v>
      </c>
      <c r="F91" s="86">
        <v>46217</v>
      </c>
      <c r="G91" s="33">
        <v>1100625</v>
      </c>
      <c r="H91" s="33">
        <v>1103560</v>
      </c>
      <c r="I91" s="33">
        <v>29.35</v>
      </c>
      <c r="P91" s="58"/>
    </row>
    <row r="92" spans="1:16" x14ac:dyDescent="0.3">
      <c r="A92" s="19" t="s">
        <v>22</v>
      </c>
      <c r="B92" s="32">
        <v>37500</v>
      </c>
      <c r="C92" s="32">
        <v>37600</v>
      </c>
      <c r="D92" s="31" t="s">
        <v>27</v>
      </c>
      <c r="F92" s="86">
        <v>46217</v>
      </c>
      <c r="G92" s="33">
        <v>806250</v>
      </c>
      <c r="H92" s="33">
        <v>808400</v>
      </c>
      <c r="I92" s="33">
        <v>21.5</v>
      </c>
      <c r="P92" s="58"/>
    </row>
    <row r="93" spans="1:16" x14ac:dyDescent="0.3">
      <c r="A93" s="19" t="s">
        <v>22</v>
      </c>
      <c r="B93" s="32">
        <v>37500</v>
      </c>
      <c r="C93" s="32">
        <v>37600</v>
      </c>
      <c r="D93" s="31" t="s">
        <v>27</v>
      </c>
      <c r="F93" s="86">
        <v>46218</v>
      </c>
      <c r="G93" s="33">
        <v>119625</v>
      </c>
      <c r="H93" s="33">
        <v>119944</v>
      </c>
      <c r="I93" s="33">
        <v>3.19</v>
      </c>
      <c r="P93" s="58"/>
    </row>
    <row r="94" spans="1:16" x14ac:dyDescent="0.3">
      <c r="A94" s="19" t="s">
        <v>22</v>
      </c>
      <c r="B94" s="32">
        <v>37500</v>
      </c>
      <c r="C94" s="32">
        <v>37600</v>
      </c>
      <c r="D94" s="31" t="s">
        <v>27</v>
      </c>
      <c r="F94" s="86">
        <v>46218</v>
      </c>
      <c r="G94" s="33">
        <v>1025250</v>
      </c>
      <c r="H94" s="33">
        <v>1027984</v>
      </c>
      <c r="I94" s="33">
        <v>27.34</v>
      </c>
      <c r="P94" s="58"/>
    </row>
    <row r="95" spans="1:16" x14ac:dyDescent="0.3">
      <c r="A95" s="19" t="s">
        <v>22</v>
      </c>
      <c r="B95" s="32">
        <v>37500</v>
      </c>
      <c r="C95" s="32">
        <v>37600</v>
      </c>
      <c r="D95" s="31" t="s">
        <v>27</v>
      </c>
      <c r="F95" s="86">
        <v>46218</v>
      </c>
      <c r="G95" s="33">
        <v>2051625</v>
      </c>
      <c r="H95" s="33">
        <v>2057096</v>
      </c>
      <c r="I95" s="33">
        <v>54.71</v>
      </c>
      <c r="P95" s="58"/>
    </row>
    <row r="96" spans="1:16" x14ac:dyDescent="0.3">
      <c r="A96" s="19" t="s">
        <v>22</v>
      </c>
      <c r="B96" s="32">
        <v>37500</v>
      </c>
      <c r="C96" s="32">
        <v>37600</v>
      </c>
      <c r="D96" s="31" t="s">
        <v>27</v>
      </c>
      <c r="F96" s="86">
        <v>46217</v>
      </c>
      <c r="G96" s="33">
        <v>62250</v>
      </c>
      <c r="H96" s="33">
        <v>62416</v>
      </c>
      <c r="I96" s="33">
        <v>1.66</v>
      </c>
      <c r="P96" s="58"/>
    </row>
    <row r="97" spans="1:16" x14ac:dyDescent="0.3">
      <c r="A97" s="19" t="s">
        <v>22</v>
      </c>
      <c r="B97" s="32">
        <v>37500</v>
      </c>
      <c r="C97" s="32">
        <v>37600</v>
      </c>
      <c r="D97" s="31" t="s">
        <v>27</v>
      </c>
      <c r="F97" s="86">
        <v>46217</v>
      </c>
      <c r="G97" s="33">
        <v>458625</v>
      </c>
      <c r="H97" s="33">
        <v>459848</v>
      </c>
      <c r="I97" s="33">
        <v>12.23</v>
      </c>
      <c r="P97" s="58"/>
    </row>
    <row r="98" spans="1:16" x14ac:dyDescent="0.3">
      <c r="A98" s="19" t="s">
        <v>22</v>
      </c>
      <c r="B98" s="32">
        <v>37500</v>
      </c>
      <c r="C98" s="32">
        <v>37600</v>
      </c>
      <c r="D98" s="31" t="s">
        <v>27</v>
      </c>
      <c r="F98" s="86">
        <v>46217</v>
      </c>
      <c r="G98" s="33">
        <v>436875</v>
      </c>
      <c r="H98" s="33">
        <v>438040</v>
      </c>
      <c r="I98" s="33">
        <v>11.65</v>
      </c>
      <c r="P98" s="58"/>
    </row>
    <row r="99" spans="1:16" x14ac:dyDescent="0.3">
      <c r="A99" s="19" t="s">
        <v>22</v>
      </c>
      <c r="B99" s="32">
        <v>37500</v>
      </c>
      <c r="C99" s="32">
        <v>37600</v>
      </c>
      <c r="D99" s="31" t="s">
        <v>27</v>
      </c>
      <c r="F99" s="86">
        <v>46217</v>
      </c>
      <c r="G99" s="33">
        <v>1603125</v>
      </c>
      <c r="H99" s="33">
        <v>1607400</v>
      </c>
      <c r="I99" s="33">
        <v>42.75</v>
      </c>
      <c r="P99" s="58"/>
    </row>
    <row r="100" spans="1:16" x14ac:dyDescent="0.3">
      <c r="A100" s="19" t="s">
        <v>22</v>
      </c>
      <c r="B100" s="32">
        <v>37500</v>
      </c>
      <c r="C100" s="32">
        <v>37600</v>
      </c>
      <c r="D100" s="31" t="s">
        <v>27</v>
      </c>
      <c r="F100" s="86">
        <v>46217</v>
      </c>
      <c r="G100" s="33">
        <v>1100625</v>
      </c>
      <c r="H100" s="33">
        <v>1103560</v>
      </c>
      <c r="I100" s="33">
        <v>29.35</v>
      </c>
      <c r="P100" s="58"/>
    </row>
    <row r="101" spans="1:16" x14ac:dyDescent="0.3">
      <c r="A101" s="19" t="s">
        <v>15</v>
      </c>
      <c r="B101" s="32">
        <v>38800</v>
      </c>
      <c r="C101" s="32">
        <v>40700</v>
      </c>
      <c r="D101" s="31" t="s">
        <v>28</v>
      </c>
      <c r="E101" s="19" t="s">
        <v>29</v>
      </c>
      <c r="F101" s="86">
        <v>46224</v>
      </c>
      <c r="G101" s="33">
        <v>1448792.0000000002</v>
      </c>
      <c r="H101" s="33">
        <v>1519738.0000000002</v>
      </c>
      <c r="I101" s="33">
        <v>37.340000000000003</v>
      </c>
      <c r="P101" s="58"/>
    </row>
    <row r="102" spans="1:16" x14ac:dyDescent="0.3">
      <c r="A102" s="19" t="s">
        <v>15</v>
      </c>
      <c r="B102" s="32">
        <v>38800</v>
      </c>
      <c r="C102" s="32">
        <v>40700</v>
      </c>
      <c r="D102" s="31" t="s">
        <v>28</v>
      </c>
      <c r="F102" s="86">
        <v>46224</v>
      </c>
      <c r="G102" s="33">
        <v>2750532</v>
      </c>
      <c r="H102" s="33">
        <v>2885223</v>
      </c>
      <c r="I102" s="33">
        <v>70.89</v>
      </c>
      <c r="P102" s="58"/>
    </row>
    <row r="103" spans="1:16" x14ac:dyDescent="0.3">
      <c r="A103" s="19" t="s">
        <v>15</v>
      </c>
      <c r="B103" s="32">
        <v>38800</v>
      </c>
      <c r="C103" s="32">
        <v>40700</v>
      </c>
      <c r="D103" s="31" t="s">
        <v>28</v>
      </c>
      <c r="F103" s="86">
        <v>46224</v>
      </c>
      <c r="G103" s="33">
        <v>783372</v>
      </c>
      <c r="H103" s="33">
        <v>821733</v>
      </c>
      <c r="I103" s="33">
        <v>20.190000000000001</v>
      </c>
      <c r="P103" s="58"/>
    </row>
    <row r="104" spans="1:16" x14ac:dyDescent="0.3">
      <c r="A104" s="19" t="s">
        <v>15</v>
      </c>
      <c r="B104" s="32">
        <v>38800</v>
      </c>
      <c r="C104" s="32">
        <v>40700</v>
      </c>
      <c r="D104" s="31" t="s">
        <v>28</v>
      </c>
      <c r="F104" s="86">
        <v>46224</v>
      </c>
      <c r="G104" s="33">
        <v>151708</v>
      </c>
      <c r="H104" s="33">
        <v>159137</v>
      </c>
      <c r="I104" s="33">
        <v>3.91</v>
      </c>
      <c r="P104" s="58"/>
    </row>
    <row r="105" spans="1:16" x14ac:dyDescent="0.3">
      <c r="A105" s="19" t="s">
        <v>15</v>
      </c>
      <c r="B105" s="32">
        <v>38800</v>
      </c>
      <c r="C105" s="32">
        <v>40700</v>
      </c>
      <c r="D105" s="31" t="s">
        <v>28</v>
      </c>
      <c r="F105" s="86">
        <v>46224</v>
      </c>
      <c r="G105" s="33">
        <v>226980</v>
      </c>
      <c r="H105" s="33">
        <v>238095</v>
      </c>
      <c r="I105" s="33">
        <v>5.85</v>
      </c>
      <c r="P105" s="58"/>
    </row>
    <row r="106" spans="1:16" x14ac:dyDescent="0.3">
      <c r="A106" s="19" t="s">
        <v>8</v>
      </c>
      <c r="B106" s="32">
        <v>39400</v>
      </c>
      <c r="C106" s="32">
        <v>39950</v>
      </c>
      <c r="D106" s="31" t="s">
        <v>30</v>
      </c>
      <c r="E106" s="19" t="s">
        <v>31</v>
      </c>
      <c r="F106" s="86">
        <v>46232</v>
      </c>
      <c r="G106" s="33">
        <v>764360</v>
      </c>
      <c r="H106" s="33">
        <v>775030</v>
      </c>
      <c r="I106" s="33">
        <v>19.399999999999999</v>
      </c>
      <c r="P106" s="58"/>
    </row>
    <row r="107" spans="1:16" x14ac:dyDescent="0.3">
      <c r="A107" s="19" t="s">
        <v>8</v>
      </c>
      <c r="B107" s="32">
        <v>39400</v>
      </c>
      <c r="C107" s="32">
        <v>39950</v>
      </c>
      <c r="D107" s="31" t="s">
        <v>30</v>
      </c>
      <c r="F107" s="86">
        <v>46232</v>
      </c>
      <c r="G107" s="33">
        <v>541750</v>
      </c>
      <c r="H107" s="33">
        <v>549312.5</v>
      </c>
      <c r="I107" s="33">
        <v>13.75</v>
      </c>
      <c r="P107" s="58"/>
    </row>
    <row r="108" spans="1:16" x14ac:dyDescent="0.3">
      <c r="A108" s="19" t="s">
        <v>8</v>
      </c>
      <c r="B108" s="32">
        <v>39400</v>
      </c>
      <c r="C108" s="32">
        <v>39950</v>
      </c>
      <c r="D108" s="31" t="s">
        <v>30</v>
      </c>
      <c r="F108" s="86">
        <v>46232</v>
      </c>
      <c r="G108" s="33">
        <v>1487350</v>
      </c>
      <c r="H108" s="33">
        <v>1508112.5</v>
      </c>
      <c r="I108" s="33">
        <v>37.75</v>
      </c>
      <c r="P108" s="58"/>
    </row>
    <row r="109" spans="1:16" x14ac:dyDescent="0.3">
      <c r="A109" s="19" t="s">
        <v>8</v>
      </c>
      <c r="B109" s="32">
        <v>39400</v>
      </c>
      <c r="C109" s="32">
        <v>39950</v>
      </c>
      <c r="D109" s="31" t="s">
        <v>30</v>
      </c>
      <c r="F109" s="86">
        <v>46232</v>
      </c>
      <c r="G109" s="33">
        <v>890637</v>
      </c>
      <c r="H109" s="33">
        <v>903069.75</v>
      </c>
      <c r="I109" s="33">
        <v>22.605</v>
      </c>
      <c r="P109" s="58"/>
    </row>
    <row r="110" spans="1:16" x14ac:dyDescent="0.3">
      <c r="A110" s="19" t="s">
        <v>8</v>
      </c>
      <c r="B110" s="32">
        <v>39400</v>
      </c>
      <c r="C110" s="32">
        <v>39950</v>
      </c>
      <c r="D110" s="31" t="s">
        <v>30</v>
      </c>
      <c r="F110" s="86">
        <v>46232</v>
      </c>
      <c r="G110" s="33">
        <v>1095714</v>
      </c>
      <c r="H110" s="33">
        <v>1111009.5</v>
      </c>
      <c r="I110" s="33">
        <v>27.81</v>
      </c>
      <c r="P110" s="58"/>
    </row>
    <row r="111" spans="1:16" x14ac:dyDescent="0.3">
      <c r="A111" s="19" t="s">
        <v>8</v>
      </c>
      <c r="B111" s="32">
        <v>39400</v>
      </c>
      <c r="C111" s="32">
        <v>39950</v>
      </c>
      <c r="D111" s="31" t="s">
        <v>30</v>
      </c>
      <c r="F111" s="86">
        <v>46232</v>
      </c>
      <c r="G111" s="33">
        <v>695410</v>
      </c>
      <c r="H111" s="33">
        <v>705117.5</v>
      </c>
      <c r="I111" s="33">
        <v>17.649999999999999</v>
      </c>
      <c r="P111" s="58"/>
    </row>
    <row r="112" spans="1:16" x14ac:dyDescent="0.3">
      <c r="A112" s="19" t="s">
        <v>8</v>
      </c>
      <c r="B112" s="32">
        <v>39400</v>
      </c>
      <c r="C112" s="32">
        <v>39950</v>
      </c>
      <c r="D112" s="31" t="s">
        <v>30</v>
      </c>
      <c r="F112" s="86">
        <v>46232</v>
      </c>
      <c r="G112" s="33">
        <v>1566544</v>
      </c>
      <c r="H112" s="33">
        <v>1588412</v>
      </c>
      <c r="I112" s="33">
        <v>39.76</v>
      </c>
      <c r="P112" s="58"/>
    </row>
    <row r="113" spans="1:16" x14ac:dyDescent="0.3">
      <c r="A113" s="19" t="s">
        <v>32</v>
      </c>
      <c r="B113" s="32">
        <v>37800</v>
      </c>
      <c r="C113" s="32">
        <v>39250</v>
      </c>
      <c r="D113" s="31" t="s">
        <v>33</v>
      </c>
      <c r="E113" s="19" t="s">
        <v>34</v>
      </c>
      <c r="F113" s="86">
        <v>46224</v>
      </c>
      <c r="G113" s="33">
        <v>588924</v>
      </c>
      <c r="H113" s="33">
        <v>611515</v>
      </c>
      <c r="I113" s="33">
        <v>15.58</v>
      </c>
      <c r="P113" s="58"/>
    </row>
    <row r="114" spans="1:16" x14ac:dyDescent="0.3">
      <c r="A114" s="19" t="s">
        <v>32</v>
      </c>
      <c r="B114" s="32">
        <v>37800</v>
      </c>
      <c r="C114" s="32">
        <v>39250</v>
      </c>
      <c r="D114" s="31" t="s">
        <v>33</v>
      </c>
      <c r="F114" s="86">
        <v>46224</v>
      </c>
      <c r="G114" s="33">
        <v>148554</v>
      </c>
      <c r="H114" s="33">
        <v>154252.5</v>
      </c>
      <c r="I114" s="33">
        <v>3.93</v>
      </c>
      <c r="P114" s="58"/>
    </row>
    <row r="115" spans="1:16" x14ac:dyDescent="0.3">
      <c r="A115" s="19" t="s">
        <v>32</v>
      </c>
      <c r="B115" s="32">
        <v>37800</v>
      </c>
      <c r="C115" s="32">
        <v>39250</v>
      </c>
      <c r="D115" s="31" t="s">
        <v>33</v>
      </c>
      <c r="F115" s="86">
        <v>46224</v>
      </c>
      <c r="G115" s="33">
        <v>592704</v>
      </c>
      <c r="H115" s="33">
        <v>615440</v>
      </c>
      <c r="I115" s="33">
        <v>15.68</v>
      </c>
      <c r="P115" s="58"/>
    </row>
    <row r="116" spans="1:16" x14ac:dyDescent="0.3">
      <c r="A116" s="19" t="s">
        <v>32</v>
      </c>
      <c r="B116" s="32">
        <v>37800</v>
      </c>
      <c r="C116" s="32">
        <v>39250</v>
      </c>
      <c r="D116" s="31" t="s">
        <v>33</v>
      </c>
      <c r="F116" s="86">
        <v>46224</v>
      </c>
      <c r="G116" s="33">
        <v>147798</v>
      </c>
      <c r="H116" s="33">
        <v>153467.5</v>
      </c>
      <c r="I116" s="33">
        <v>3.91</v>
      </c>
      <c r="P116" s="58"/>
    </row>
    <row r="117" spans="1:16" x14ac:dyDescent="0.3">
      <c r="A117" s="19" t="s">
        <v>11</v>
      </c>
      <c r="B117" s="32">
        <v>37500</v>
      </c>
      <c r="C117" s="32">
        <v>37700</v>
      </c>
      <c r="D117" s="31">
        <v>26</v>
      </c>
      <c r="E117" s="19" t="s">
        <v>24</v>
      </c>
      <c r="F117" s="86">
        <v>46231</v>
      </c>
      <c r="G117" s="33">
        <v>2971500</v>
      </c>
      <c r="H117" s="33">
        <v>2987348</v>
      </c>
      <c r="I117" s="33">
        <v>79.239999999999995</v>
      </c>
      <c r="P117" s="58"/>
    </row>
    <row r="118" spans="1:16" x14ac:dyDescent="0.3">
      <c r="A118" s="19" t="s">
        <v>13</v>
      </c>
      <c r="B118" s="32">
        <v>38800</v>
      </c>
      <c r="C118" s="32">
        <v>40500</v>
      </c>
      <c r="D118" s="31">
        <v>27</v>
      </c>
      <c r="E118" s="19" t="s">
        <v>35</v>
      </c>
      <c r="F118" s="86">
        <v>46232</v>
      </c>
      <c r="G118" s="33">
        <v>1144212</v>
      </c>
      <c r="H118" s="33">
        <v>1194345</v>
      </c>
      <c r="I118" s="33">
        <v>29.490000000000002</v>
      </c>
      <c r="P118" s="58"/>
    </row>
    <row r="119" spans="1:16" x14ac:dyDescent="0.3">
      <c r="A119" s="19" t="s">
        <v>13</v>
      </c>
      <c r="B119" s="32">
        <v>38800</v>
      </c>
      <c r="C119" s="32">
        <v>40500</v>
      </c>
      <c r="D119" s="31">
        <v>27</v>
      </c>
      <c r="F119" s="86">
        <v>46232</v>
      </c>
      <c r="G119" s="33">
        <v>1520572</v>
      </c>
      <c r="H119" s="33">
        <v>1587195</v>
      </c>
      <c r="I119" s="33">
        <v>39.19</v>
      </c>
      <c r="P119" s="58"/>
    </row>
    <row r="120" spans="1:16" x14ac:dyDescent="0.3">
      <c r="A120" s="19" t="s">
        <v>13</v>
      </c>
      <c r="B120" s="32">
        <v>38800</v>
      </c>
      <c r="C120" s="32">
        <v>40500</v>
      </c>
      <c r="D120" s="31">
        <v>27</v>
      </c>
      <c r="F120" s="86">
        <v>46232</v>
      </c>
      <c r="G120" s="33">
        <v>1139944</v>
      </c>
      <c r="H120" s="33">
        <v>1189890</v>
      </c>
      <c r="I120" s="33">
        <v>29.38</v>
      </c>
      <c r="P120" s="58"/>
    </row>
    <row r="121" spans="1:16" x14ac:dyDescent="0.3">
      <c r="A121" s="19" t="s">
        <v>11</v>
      </c>
      <c r="B121" s="32">
        <v>38000</v>
      </c>
      <c r="C121" s="32">
        <v>38350</v>
      </c>
      <c r="D121" s="31">
        <v>28</v>
      </c>
      <c r="E121" s="19" t="s">
        <v>21</v>
      </c>
      <c r="F121" s="86">
        <v>46234</v>
      </c>
      <c r="G121" s="33">
        <v>1850600</v>
      </c>
      <c r="H121" s="33">
        <v>1867645</v>
      </c>
      <c r="I121" s="33">
        <v>48.7</v>
      </c>
      <c r="P121" s="58"/>
    </row>
    <row r="122" spans="1:16" x14ac:dyDescent="0.3">
      <c r="A122" s="19" t="s">
        <v>11</v>
      </c>
      <c r="B122" s="32">
        <v>38000</v>
      </c>
      <c r="C122" s="32">
        <v>38350</v>
      </c>
      <c r="D122" s="31">
        <v>28</v>
      </c>
      <c r="F122" s="86">
        <v>46234</v>
      </c>
      <c r="G122" s="33">
        <v>1862000</v>
      </c>
      <c r="H122" s="33">
        <v>1879150</v>
      </c>
      <c r="I122" s="33">
        <v>49</v>
      </c>
      <c r="P122" s="58"/>
    </row>
    <row r="123" spans="1:16" x14ac:dyDescent="0.3">
      <c r="A123" s="19" t="s">
        <v>8</v>
      </c>
      <c r="B123" s="32">
        <v>39450</v>
      </c>
      <c r="C123" s="32">
        <v>39950</v>
      </c>
      <c r="D123" s="31">
        <v>31</v>
      </c>
      <c r="E123" s="19" t="s">
        <v>31</v>
      </c>
      <c r="F123" s="86">
        <v>46240</v>
      </c>
      <c r="G123" s="33">
        <v>1952775</v>
      </c>
      <c r="H123" s="33">
        <v>1977525</v>
      </c>
      <c r="I123" s="33">
        <v>49.5</v>
      </c>
      <c r="P123" s="58"/>
    </row>
    <row r="124" spans="1:16" x14ac:dyDescent="0.3">
      <c r="A124" s="19" t="s">
        <v>8</v>
      </c>
      <c r="B124" s="32">
        <v>39450</v>
      </c>
      <c r="C124" s="32">
        <v>39950</v>
      </c>
      <c r="D124" s="31">
        <v>31</v>
      </c>
      <c r="F124" s="86">
        <v>46240</v>
      </c>
      <c r="G124" s="33">
        <v>1948041</v>
      </c>
      <c r="H124" s="33">
        <v>1972731</v>
      </c>
      <c r="I124" s="33">
        <v>49.38</v>
      </c>
      <c r="P124" s="58"/>
    </row>
    <row r="125" spans="1:16" x14ac:dyDescent="0.3">
      <c r="A125" s="19" t="s">
        <v>8</v>
      </c>
      <c r="B125" s="32">
        <v>39450</v>
      </c>
      <c r="C125" s="32">
        <v>39950</v>
      </c>
      <c r="D125" s="31">
        <v>31</v>
      </c>
      <c r="F125" s="86">
        <v>46240</v>
      </c>
      <c r="G125" s="33">
        <v>1958298</v>
      </c>
      <c r="H125" s="33">
        <v>1983118</v>
      </c>
      <c r="I125" s="33">
        <v>49.64</v>
      </c>
      <c r="P125" s="58"/>
    </row>
    <row r="126" spans="1:16" x14ac:dyDescent="0.3">
      <c r="A126" s="19" t="s">
        <v>8</v>
      </c>
      <c r="B126" s="32">
        <v>39450</v>
      </c>
      <c r="C126" s="32">
        <v>39950</v>
      </c>
      <c r="D126" s="31">
        <v>31</v>
      </c>
      <c r="F126" s="86">
        <v>46240</v>
      </c>
      <c r="G126" s="33">
        <v>2221429.5</v>
      </c>
      <c r="H126" s="33">
        <v>2249584.5</v>
      </c>
      <c r="I126" s="33">
        <v>56.31</v>
      </c>
      <c r="P126" s="58"/>
    </row>
    <row r="127" spans="1:16" x14ac:dyDescent="0.3">
      <c r="A127" s="19" t="s">
        <v>8</v>
      </c>
      <c r="B127" s="32">
        <v>39450</v>
      </c>
      <c r="C127" s="32">
        <v>39950</v>
      </c>
      <c r="D127" s="31">
        <v>31</v>
      </c>
      <c r="F127" s="86">
        <v>46240</v>
      </c>
      <c r="G127" s="33">
        <v>8194554</v>
      </c>
      <c r="H127" s="33">
        <v>8298414</v>
      </c>
      <c r="I127" s="33">
        <v>207.72</v>
      </c>
      <c r="P127" s="58"/>
    </row>
    <row r="128" spans="1:16" x14ac:dyDescent="0.3">
      <c r="A128" s="19" t="s">
        <v>8</v>
      </c>
      <c r="B128" s="32">
        <v>39450</v>
      </c>
      <c r="C128" s="32">
        <v>39950</v>
      </c>
      <c r="D128" s="31">
        <v>31</v>
      </c>
      <c r="F128" s="86">
        <v>46240</v>
      </c>
      <c r="G128" s="33">
        <v>3625060.5</v>
      </c>
      <c r="H128" s="33">
        <v>3671005.5</v>
      </c>
      <c r="I128" s="33">
        <v>91.89</v>
      </c>
      <c r="P128" s="58"/>
    </row>
    <row r="129" spans="1:16" x14ac:dyDescent="0.3">
      <c r="A129" s="19" t="s">
        <v>8</v>
      </c>
      <c r="B129" s="32">
        <v>39450</v>
      </c>
      <c r="C129" s="32">
        <v>39950</v>
      </c>
      <c r="D129" s="31">
        <v>31</v>
      </c>
      <c r="F129" s="86">
        <v>46240</v>
      </c>
      <c r="G129" s="33">
        <v>854092.5</v>
      </c>
      <c r="H129" s="33">
        <v>864917.5</v>
      </c>
      <c r="I129" s="33">
        <v>21.65</v>
      </c>
      <c r="P129" s="58"/>
    </row>
    <row r="130" spans="1:16" x14ac:dyDescent="0.3">
      <c r="A130" s="19" t="s">
        <v>11</v>
      </c>
      <c r="B130" s="32">
        <v>38100</v>
      </c>
      <c r="C130" s="32">
        <v>38350</v>
      </c>
      <c r="D130" s="31">
        <v>32</v>
      </c>
      <c r="E130" s="19" t="s">
        <v>37</v>
      </c>
      <c r="F130" s="86">
        <v>46240</v>
      </c>
      <c r="G130" s="33">
        <v>222885</v>
      </c>
      <c r="H130" s="33">
        <v>224347.5</v>
      </c>
      <c r="I130" s="33">
        <v>5.85</v>
      </c>
      <c r="P130" s="58"/>
    </row>
    <row r="131" spans="1:16" x14ac:dyDescent="0.3">
      <c r="A131" s="19" t="s">
        <v>11</v>
      </c>
      <c r="B131" s="32">
        <v>38100</v>
      </c>
      <c r="C131" s="32">
        <v>38350</v>
      </c>
      <c r="D131" s="31">
        <v>32</v>
      </c>
      <c r="F131" s="86">
        <v>46240</v>
      </c>
      <c r="G131" s="33">
        <v>730758</v>
      </c>
      <c r="H131" s="33">
        <v>735553</v>
      </c>
      <c r="I131" s="33">
        <v>19.18</v>
      </c>
      <c r="P131" s="58"/>
    </row>
    <row r="132" spans="1:16" x14ac:dyDescent="0.3">
      <c r="A132" s="19" t="s">
        <v>11</v>
      </c>
      <c r="B132" s="32">
        <v>38100</v>
      </c>
      <c r="C132" s="32">
        <v>38350</v>
      </c>
      <c r="D132" s="31">
        <v>32</v>
      </c>
      <c r="F132" s="86">
        <v>46240</v>
      </c>
      <c r="G132" s="33">
        <v>1146429</v>
      </c>
      <c r="H132" s="33">
        <v>1153951.5</v>
      </c>
      <c r="I132" s="33">
        <v>30.09</v>
      </c>
      <c r="P132" s="58"/>
    </row>
    <row r="133" spans="1:16" x14ac:dyDescent="0.3">
      <c r="A133" s="19" t="s">
        <v>11</v>
      </c>
      <c r="B133" s="32">
        <v>38100</v>
      </c>
      <c r="C133" s="32">
        <v>38350</v>
      </c>
      <c r="D133" s="31">
        <v>32</v>
      </c>
      <c r="F133" s="86">
        <v>46240</v>
      </c>
      <c r="G133" s="33">
        <v>153924</v>
      </c>
      <c r="H133" s="33">
        <v>154934</v>
      </c>
      <c r="I133" s="33">
        <v>4.04</v>
      </c>
      <c r="P133" s="58"/>
    </row>
    <row r="134" spans="1:16" x14ac:dyDescent="0.3">
      <c r="A134" s="19" t="s">
        <v>11</v>
      </c>
      <c r="B134" s="32">
        <v>37500</v>
      </c>
      <c r="C134" s="32">
        <v>37700</v>
      </c>
      <c r="D134" s="31">
        <v>33</v>
      </c>
      <c r="E134" s="19" t="s">
        <v>24</v>
      </c>
      <c r="F134" s="86">
        <v>46243</v>
      </c>
      <c r="G134" s="33">
        <v>1095750</v>
      </c>
      <c r="H134" s="33">
        <v>1101594</v>
      </c>
      <c r="I134" s="33">
        <v>29.22</v>
      </c>
      <c r="P134" s="58"/>
    </row>
    <row r="135" spans="1:16" x14ac:dyDescent="0.3">
      <c r="A135" s="19" t="s">
        <v>11</v>
      </c>
      <c r="B135" s="32">
        <v>37500</v>
      </c>
      <c r="C135" s="32">
        <v>37700</v>
      </c>
      <c r="D135" s="31">
        <v>33</v>
      </c>
      <c r="F135" s="86">
        <v>46243</v>
      </c>
      <c r="G135" s="33">
        <v>724874.99999999988</v>
      </c>
      <c r="H135" s="33">
        <v>728740.99999999988</v>
      </c>
      <c r="I135" s="33">
        <v>19.329999999999998</v>
      </c>
      <c r="P135" s="58"/>
    </row>
    <row r="136" spans="1:16" x14ac:dyDescent="0.3">
      <c r="A136" s="19" t="s">
        <v>11</v>
      </c>
      <c r="B136" s="32">
        <v>37500</v>
      </c>
      <c r="C136" s="32">
        <v>37700</v>
      </c>
      <c r="D136" s="31">
        <v>33</v>
      </c>
      <c r="F136" s="86">
        <v>46243</v>
      </c>
      <c r="G136" s="33">
        <v>746625</v>
      </c>
      <c r="H136" s="33">
        <v>750607</v>
      </c>
      <c r="I136" s="33">
        <v>19.91</v>
      </c>
      <c r="P136" s="58"/>
    </row>
    <row r="137" spans="1:16" x14ac:dyDescent="0.3">
      <c r="A137" s="19" t="s">
        <v>11</v>
      </c>
      <c r="B137" s="32">
        <v>37500</v>
      </c>
      <c r="C137" s="32">
        <v>37700</v>
      </c>
      <c r="D137" s="31">
        <v>33</v>
      </c>
      <c r="F137" s="86">
        <v>46243</v>
      </c>
      <c r="G137" s="33">
        <v>78750</v>
      </c>
      <c r="H137" s="33">
        <v>79170</v>
      </c>
      <c r="I137" s="33">
        <v>2.1</v>
      </c>
      <c r="P137" s="58"/>
    </row>
    <row r="138" spans="1:16" x14ac:dyDescent="0.3">
      <c r="A138" s="19" t="s">
        <v>11</v>
      </c>
      <c r="B138" s="32">
        <v>38250</v>
      </c>
      <c r="C138" s="32">
        <v>38650</v>
      </c>
      <c r="D138" s="31">
        <v>34</v>
      </c>
      <c r="E138" s="19" t="s">
        <v>37</v>
      </c>
      <c r="F138" s="86">
        <v>46243</v>
      </c>
      <c r="G138" s="33">
        <v>147645</v>
      </c>
      <c r="H138" s="33">
        <v>149189</v>
      </c>
      <c r="I138" s="33">
        <v>3.86</v>
      </c>
      <c r="P138" s="58"/>
    </row>
    <row r="139" spans="1:16" x14ac:dyDescent="0.3">
      <c r="A139" s="19" t="s">
        <v>11</v>
      </c>
      <c r="B139" s="32">
        <v>38250</v>
      </c>
      <c r="C139" s="32">
        <v>38650</v>
      </c>
      <c r="D139" s="31">
        <v>34</v>
      </c>
      <c r="F139" s="86">
        <v>46243</v>
      </c>
      <c r="G139" s="33">
        <v>148410</v>
      </c>
      <c r="H139" s="33">
        <v>149962</v>
      </c>
      <c r="I139" s="33">
        <v>3.88</v>
      </c>
      <c r="P139" s="58"/>
    </row>
    <row r="140" spans="1:16" x14ac:dyDescent="0.3">
      <c r="A140" s="19" t="s">
        <v>11</v>
      </c>
      <c r="B140" s="32">
        <v>38250</v>
      </c>
      <c r="C140" s="32">
        <v>38650</v>
      </c>
      <c r="D140" s="31">
        <v>34</v>
      </c>
      <c r="F140" s="86">
        <v>46243</v>
      </c>
      <c r="G140" s="33">
        <v>2174895</v>
      </c>
      <c r="H140" s="33">
        <v>2197639</v>
      </c>
      <c r="I140" s="33">
        <v>56.86</v>
      </c>
      <c r="P140" s="58"/>
    </row>
    <row r="141" spans="1:16" x14ac:dyDescent="0.3">
      <c r="A141" s="19" t="s">
        <v>13</v>
      </c>
      <c r="B141" s="32">
        <v>39450</v>
      </c>
      <c r="C141" s="32">
        <v>40100</v>
      </c>
      <c r="D141" s="31">
        <v>36</v>
      </c>
      <c r="E141" s="19" t="s">
        <v>36</v>
      </c>
      <c r="F141" s="86">
        <v>46245</v>
      </c>
      <c r="G141" s="33">
        <v>76927.5</v>
      </c>
      <c r="H141" s="33">
        <v>78195</v>
      </c>
      <c r="I141" s="33">
        <v>1.95</v>
      </c>
      <c r="P141" s="58"/>
    </row>
    <row r="142" spans="1:16" x14ac:dyDescent="0.3">
      <c r="A142" s="19" t="s">
        <v>13</v>
      </c>
      <c r="B142" s="32">
        <v>39450</v>
      </c>
      <c r="C142" s="32">
        <v>40100</v>
      </c>
      <c r="D142" s="31">
        <v>36</v>
      </c>
      <c r="F142" s="86">
        <v>46245</v>
      </c>
      <c r="G142" s="33">
        <v>847780.49999999988</v>
      </c>
      <c r="H142" s="33">
        <v>861748.99999999988</v>
      </c>
      <c r="I142" s="33">
        <v>21.49</v>
      </c>
      <c r="P142" s="58"/>
    </row>
    <row r="143" spans="1:16" x14ac:dyDescent="0.3">
      <c r="A143" s="19" t="s">
        <v>13</v>
      </c>
      <c r="B143" s="32">
        <v>39450</v>
      </c>
      <c r="C143" s="32">
        <v>40100</v>
      </c>
      <c r="D143" s="31">
        <v>36</v>
      </c>
      <c r="F143" s="86">
        <v>46245</v>
      </c>
      <c r="G143" s="33">
        <v>1082902.5</v>
      </c>
      <c r="H143" s="33">
        <v>1100745</v>
      </c>
      <c r="I143" s="33">
        <v>27.45</v>
      </c>
      <c r="P143" s="58"/>
    </row>
    <row r="144" spans="1:16" x14ac:dyDescent="0.3">
      <c r="A144" s="19" t="s">
        <v>13</v>
      </c>
      <c r="B144" s="32">
        <v>39450</v>
      </c>
      <c r="C144" s="32">
        <v>40100</v>
      </c>
      <c r="D144" s="31">
        <v>36</v>
      </c>
      <c r="F144" s="86">
        <v>46245</v>
      </c>
      <c r="G144" s="33">
        <v>2158704</v>
      </c>
      <c r="H144" s="33">
        <v>2194272</v>
      </c>
      <c r="I144" s="33">
        <v>54.72</v>
      </c>
      <c r="P144" s="58"/>
    </row>
    <row r="145" spans="1:16" x14ac:dyDescent="0.3">
      <c r="A145" s="19" t="s">
        <v>13</v>
      </c>
      <c r="B145" s="32">
        <v>39450</v>
      </c>
      <c r="C145" s="32">
        <v>40100</v>
      </c>
      <c r="D145" s="31">
        <v>36</v>
      </c>
      <c r="F145" s="86">
        <v>46245</v>
      </c>
      <c r="G145" s="33">
        <v>464326.5</v>
      </c>
      <c r="H145" s="33">
        <v>471977</v>
      </c>
      <c r="I145" s="33">
        <v>11.77</v>
      </c>
      <c r="P145" s="58"/>
    </row>
    <row r="146" spans="1:16" x14ac:dyDescent="0.3">
      <c r="A146" s="19" t="s">
        <v>13</v>
      </c>
      <c r="B146" s="32">
        <v>39450</v>
      </c>
      <c r="C146" s="32">
        <v>40100</v>
      </c>
      <c r="D146" s="31">
        <v>36</v>
      </c>
      <c r="F146" s="86">
        <v>46245</v>
      </c>
      <c r="G146" s="33">
        <v>459987</v>
      </c>
      <c r="H146" s="33">
        <v>467566</v>
      </c>
      <c r="I146" s="33">
        <v>11.66</v>
      </c>
      <c r="P146" s="58"/>
    </row>
    <row r="147" spans="1:16" x14ac:dyDescent="0.3">
      <c r="A147" s="19" t="s">
        <v>8</v>
      </c>
      <c r="B147" s="32">
        <v>39450</v>
      </c>
      <c r="C147" s="32">
        <v>39950</v>
      </c>
      <c r="D147" s="31">
        <v>37</v>
      </c>
      <c r="E147" s="19" t="s">
        <v>31</v>
      </c>
      <c r="F147" s="86">
        <v>46250</v>
      </c>
      <c r="G147" s="33">
        <v>4560814.5000000009</v>
      </c>
      <c r="H147" s="33">
        <v>4618619.5000000009</v>
      </c>
      <c r="I147" s="33">
        <v>115.61000000000001</v>
      </c>
      <c r="P147" s="58"/>
    </row>
    <row r="148" spans="1:16" x14ac:dyDescent="0.3">
      <c r="A148" s="19" t="s">
        <v>8</v>
      </c>
      <c r="B148" s="32">
        <v>39450</v>
      </c>
      <c r="C148" s="32">
        <v>39950</v>
      </c>
      <c r="D148" s="31">
        <v>37</v>
      </c>
      <c r="F148" s="86">
        <v>46250</v>
      </c>
      <c r="G148" s="33">
        <v>463932</v>
      </c>
      <c r="H148" s="33">
        <v>469812</v>
      </c>
      <c r="I148" s="33">
        <v>11.76</v>
      </c>
      <c r="P148" s="58"/>
    </row>
    <row r="149" spans="1:16" x14ac:dyDescent="0.3">
      <c r="A149" s="19" t="s">
        <v>8</v>
      </c>
      <c r="B149" s="32">
        <v>39450</v>
      </c>
      <c r="C149" s="32">
        <v>39950</v>
      </c>
      <c r="D149" s="31">
        <v>37</v>
      </c>
      <c r="F149" s="86">
        <v>46250</v>
      </c>
      <c r="G149" s="33">
        <v>926286</v>
      </c>
      <c r="H149" s="33">
        <v>938026</v>
      </c>
      <c r="I149" s="33">
        <v>23.48</v>
      </c>
      <c r="P149" s="58"/>
    </row>
    <row r="150" spans="1:16" x14ac:dyDescent="0.3">
      <c r="A150" s="19" t="s">
        <v>8</v>
      </c>
      <c r="B150" s="32">
        <v>39450</v>
      </c>
      <c r="C150" s="32">
        <v>39950</v>
      </c>
      <c r="D150" s="31">
        <v>37</v>
      </c>
      <c r="F150" s="86">
        <v>46250</v>
      </c>
      <c r="G150" s="33">
        <v>154249.5</v>
      </c>
      <c r="H150" s="33">
        <v>156204.5</v>
      </c>
      <c r="I150" s="33">
        <v>3.91</v>
      </c>
      <c r="P150" s="58"/>
    </row>
    <row r="151" spans="1:16" x14ac:dyDescent="0.3">
      <c r="A151" s="19" t="s">
        <v>8</v>
      </c>
      <c r="B151" s="32">
        <v>39450</v>
      </c>
      <c r="C151" s="32">
        <v>39950</v>
      </c>
      <c r="D151" s="31">
        <v>37</v>
      </c>
      <c r="F151" s="86">
        <v>46250</v>
      </c>
      <c r="G151" s="33">
        <v>817404</v>
      </c>
      <c r="H151" s="33">
        <v>827764</v>
      </c>
      <c r="I151" s="33">
        <v>20.72</v>
      </c>
      <c r="P151" s="58"/>
    </row>
    <row r="152" spans="1:16" x14ac:dyDescent="0.3">
      <c r="A152" s="19" t="s">
        <v>8</v>
      </c>
      <c r="B152" s="32">
        <v>39450</v>
      </c>
      <c r="C152" s="32">
        <v>39950</v>
      </c>
      <c r="D152" s="31">
        <v>37</v>
      </c>
      <c r="F152" s="86">
        <v>46250</v>
      </c>
      <c r="G152" s="33">
        <v>1844682</v>
      </c>
      <c r="H152" s="33">
        <v>1868062</v>
      </c>
      <c r="I152" s="33">
        <v>46.76</v>
      </c>
      <c r="P152" s="58"/>
    </row>
    <row r="153" spans="1:16" x14ac:dyDescent="0.3">
      <c r="A153" s="19" t="s">
        <v>11</v>
      </c>
      <c r="B153" s="32">
        <v>38000</v>
      </c>
      <c r="C153" s="32">
        <v>38050</v>
      </c>
      <c r="D153" s="31">
        <v>38</v>
      </c>
      <c r="E153" s="19" t="s">
        <v>24</v>
      </c>
      <c r="F153" s="86">
        <v>46250</v>
      </c>
      <c r="G153" s="33">
        <v>1857440</v>
      </c>
      <c r="H153" s="33">
        <v>1859884</v>
      </c>
      <c r="I153" s="33">
        <v>48.88</v>
      </c>
      <c r="P153" s="58"/>
    </row>
    <row r="154" spans="1:16" x14ac:dyDescent="0.3">
      <c r="A154" s="19" t="s">
        <v>38</v>
      </c>
      <c r="B154" s="32">
        <v>39500</v>
      </c>
      <c r="C154" s="32">
        <v>40500</v>
      </c>
      <c r="D154" s="31">
        <v>39</v>
      </c>
      <c r="E154" s="19" t="s">
        <v>36</v>
      </c>
      <c r="F154" s="86">
        <v>46250</v>
      </c>
      <c r="G154" s="33">
        <v>413565</v>
      </c>
      <c r="H154" s="33">
        <v>424035</v>
      </c>
      <c r="I154" s="33">
        <v>10.47</v>
      </c>
      <c r="P154" s="58"/>
    </row>
    <row r="155" spans="1:16" x14ac:dyDescent="0.3">
      <c r="A155" s="19" t="s">
        <v>38</v>
      </c>
      <c r="B155" s="32">
        <v>39500</v>
      </c>
      <c r="C155" s="32">
        <v>40500</v>
      </c>
      <c r="D155" s="31">
        <v>39</v>
      </c>
      <c r="F155" s="86">
        <v>46250</v>
      </c>
      <c r="G155" s="33">
        <v>154445</v>
      </c>
      <c r="H155" s="33">
        <v>158355</v>
      </c>
      <c r="I155" s="33">
        <v>3.91</v>
      </c>
      <c r="P155" s="58"/>
    </row>
    <row r="156" spans="1:16" x14ac:dyDescent="0.3">
      <c r="A156" s="19" t="s">
        <v>38</v>
      </c>
      <c r="B156" s="32">
        <v>39500</v>
      </c>
      <c r="C156" s="32">
        <v>40500</v>
      </c>
      <c r="D156" s="31">
        <v>39</v>
      </c>
      <c r="F156" s="86">
        <v>46250</v>
      </c>
      <c r="G156" s="33">
        <v>1399485</v>
      </c>
      <c r="H156" s="33">
        <v>1434915</v>
      </c>
      <c r="I156" s="33">
        <v>35.43</v>
      </c>
      <c r="P156" s="58"/>
    </row>
    <row r="157" spans="1:16" x14ac:dyDescent="0.3">
      <c r="A157" s="19" t="s">
        <v>11</v>
      </c>
      <c r="B157" s="32">
        <v>38450</v>
      </c>
      <c r="C157" s="32">
        <v>38800</v>
      </c>
      <c r="D157" s="31">
        <v>40</v>
      </c>
      <c r="E157" s="19" t="s">
        <v>39</v>
      </c>
      <c r="F157" s="86">
        <v>46251</v>
      </c>
      <c r="G157" s="33">
        <v>245311</v>
      </c>
      <c r="H157" s="33">
        <v>247544</v>
      </c>
      <c r="I157" s="33">
        <v>6.38</v>
      </c>
      <c r="P157" s="58"/>
    </row>
    <row r="158" spans="1:16" x14ac:dyDescent="0.3">
      <c r="A158" s="19" t="s">
        <v>11</v>
      </c>
      <c r="B158" s="32">
        <v>38450</v>
      </c>
      <c r="C158" s="32">
        <v>38800</v>
      </c>
      <c r="D158" s="31">
        <v>40</v>
      </c>
      <c r="F158" s="86">
        <v>46251</v>
      </c>
      <c r="G158" s="33">
        <v>1206176.5</v>
      </c>
      <c r="H158" s="33">
        <v>1217156</v>
      </c>
      <c r="I158" s="33">
        <v>31.37</v>
      </c>
      <c r="P158" s="58"/>
    </row>
    <row r="159" spans="1:16" x14ac:dyDescent="0.3">
      <c r="A159" s="19" t="s">
        <v>11</v>
      </c>
      <c r="B159" s="32">
        <v>38450</v>
      </c>
      <c r="C159" s="32">
        <v>38800</v>
      </c>
      <c r="D159" s="31">
        <v>40</v>
      </c>
      <c r="F159" s="86">
        <v>46251</v>
      </c>
      <c r="G159" s="33">
        <v>605587.5</v>
      </c>
      <c r="H159" s="33">
        <v>611100</v>
      </c>
      <c r="I159" s="33">
        <v>15.75</v>
      </c>
      <c r="P159" s="58"/>
    </row>
    <row r="160" spans="1:16" x14ac:dyDescent="0.3">
      <c r="A160" s="19" t="s">
        <v>13</v>
      </c>
      <c r="B160" s="32">
        <v>39500</v>
      </c>
      <c r="C160" s="32">
        <v>40600</v>
      </c>
      <c r="D160" s="31">
        <v>41</v>
      </c>
      <c r="E160" s="19" t="s">
        <v>36</v>
      </c>
      <c r="F160" s="86">
        <v>46251</v>
      </c>
      <c r="G160" s="33">
        <v>376829.99999999994</v>
      </c>
      <c r="H160" s="33">
        <v>387323.99999999994</v>
      </c>
      <c r="I160" s="33">
        <v>9.5399999999999991</v>
      </c>
      <c r="P160" s="58"/>
    </row>
    <row r="161" spans="1:16" x14ac:dyDescent="0.3">
      <c r="A161" s="19" t="s">
        <v>13</v>
      </c>
      <c r="B161" s="32">
        <v>39500</v>
      </c>
      <c r="C161" s="32">
        <v>40600</v>
      </c>
      <c r="D161" s="31">
        <v>41</v>
      </c>
      <c r="F161" s="86">
        <v>46251</v>
      </c>
      <c r="G161" s="33">
        <v>776175</v>
      </c>
      <c r="H161" s="33">
        <v>797790</v>
      </c>
      <c r="I161" s="33">
        <v>19.649999999999999</v>
      </c>
      <c r="P161" s="58"/>
    </row>
    <row r="162" spans="1:16" x14ac:dyDescent="0.3">
      <c r="A162" s="19" t="s">
        <v>13</v>
      </c>
      <c r="B162" s="32">
        <v>39500</v>
      </c>
      <c r="C162" s="32">
        <v>40600</v>
      </c>
      <c r="D162" s="31">
        <v>41</v>
      </c>
      <c r="F162" s="86">
        <v>46251</v>
      </c>
      <c r="G162" s="33">
        <v>2752755</v>
      </c>
      <c r="H162" s="33">
        <v>2829414</v>
      </c>
      <c r="I162" s="33">
        <v>69.69</v>
      </c>
      <c r="P162" s="58"/>
    </row>
    <row r="163" spans="1:16" x14ac:dyDescent="0.3">
      <c r="A163" s="19" t="s">
        <v>11</v>
      </c>
      <c r="B163" s="32">
        <v>38000</v>
      </c>
      <c r="C163" s="32">
        <v>38050</v>
      </c>
      <c r="D163" s="31">
        <v>42</v>
      </c>
      <c r="E163" s="19" t="s">
        <v>24</v>
      </c>
      <c r="F163" s="86">
        <v>46252</v>
      </c>
      <c r="G163" s="33">
        <v>2768680</v>
      </c>
      <c r="H163" s="33">
        <v>2772323</v>
      </c>
      <c r="I163" s="33">
        <v>72.86</v>
      </c>
      <c r="P163" s="58"/>
    </row>
    <row r="164" spans="1:16" x14ac:dyDescent="0.3">
      <c r="A164" s="19" t="s">
        <v>14</v>
      </c>
      <c r="B164" s="32">
        <v>39750</v>
      </c>
      <c r="C164" s="32">
        <v>40050</v>
      </c>
      <c r="D164" s="31">
        <v>43</v>
      </c>
      <c r="E164" s="19" t="s">
        <v>36</v>
      </c>
      <c r="F164" s="86">
        <v>46256</v>
      </c>
      <c r="G164" s="33">
        <v>469050</v>
      </c>
      <c r="H164" s="33">
        <v>472590</v>
      </c>
      <c r="I164" s="33">
        <v>11.8</v>
      </c>
      <c r="P164" s="58"/>
    </row>
    <row r="165" spans="1:16" x14ac:dyDescent="0.3">
      <c r="A165" s="19" t="s">
        <v>14</v>
      </c>
      <c r="B165" s="32">
        <v>39750</v>
      </c>
      <c r="C165" s="32">
        <v>40050</v>
      </c>
      <c r="D165" s="31">
        <v>43</v>
      </c>
      <c r="F165" s="86">
        <v>46256</v>
      </c>
      <c r="G165" s="33">
        <v>2672790</v>
      </c>
      <c r="H165" s="33">
        <v>2692962</v>
      </c>
      <c r="I165" s="33">
        <v>67.239999999999995</v>
      </c>
      <c r="P165" s="58"/>
    </row>
    <row r="166" spans="1:16" x14ac:dyDescent="0.3">
      <c r="A166" s="19" t="s">
        <v>14</v>
      </c>
      <c r="B166" s="32">
        <v>39750</v>
      </c>
      <c r="C166" s="32">
        <v>40050</v>
      </c>
      <c r="D166" s="31">
        <v>43</v>
      </c>
      <c r="F166" s="86">
        <v>46256</v>
      </c>
      <c r="G166" s="33">
        <v>2119350.75</v>
      </c>
      <c r="H166" s="33">
        <v>2135345.85</v>
      </c>
      <c r="I166" s="33">
        <v>53.317</v>
      </c>
      <c r="P166" s="58"/>
    </row>
    <row r="167" spans="1:16" x14ac:dyDescent="0.3">
      <c r="A167" s="19" t="s">
        <v>14</v>
      </c>
      <c r="B167" s="32">
        <v>39750</v>
      </c>
      <c r="C167" s="32">
        <v>40050</v>
      </c>
      <c r="D167" s="31">
        <v>43</v>
      </c>
      <c r="F167" s="86">
        <v>46256</v>
      </c>
      <c r="G167" s="33">
        <v>1985115</v>
      </c>
      <c r="H167" s="33">
        <v>2000097</v>
      </c>
      <c r="I167" s="33">
        <v>49.94</v>
      </c>
      <c r="P167" s="58"/>
    </row>
    <row r="168" spans="1:16" x14ac:dyDescent="0.3">
      <c r="A168" s="19" t="s">
        <v>14</v>
      </c>
      <c r="B168" s="32">
        <v>39750</v>
      </c>
      <c r="C168" s="32">
        <v>40050</v>
      </c>
      <c r="D168" s="31">
        <v>43</v>
      </c>
      <c r="F168" s="86">
        <v>46256</v>
      </c>
      <c r="G168" s="33">
        <v>4141274.2499999995</v>
      </c>
      <c r="H168" s="33">
        <v>4172529.15</v>
      </c>
      <c r="I168" s="33">
        <v>104.18299999999999</v>
      </c>
      <c r="P168" s="58"/>
    </row>
    <row r="169" spans="1:16" x14ac:dyDescent="0.3">
      <c r="A169" s="19" t="s">
        <v>14</v>
      </c>
      <c r="B169" s="32">
        <v>39750</v>
      </c>
      <c r="C169" s="32">
        <v>40050</v>
      </c>
      <c r="D169" s="31">
        <v>43</v>
      </c>
      <c r="F169" s="86">
        <v>46256</v>
      </c>
      <c r="G169" s="33">
        <v>6224850</v>
      </c>
      <c r="H169" s="33">
        <v>6271830</v>
      </c>
      <c r="I169" s="33">
        <v>156.6</v>
      </c>
      <c r="P169" s="58"/>
    </row>
    <row r="170" spans="1:16" x14ac:dyDescent="0.3">
      <c r="A170" s="19" t="s">
        <v>15</v>
      </c>
      <c r="B170" s="32">
        <v>40000</v>
      </c>
      <c r="C170" s="32">
        <v>41000</v>
      </c>
      <c r="D170" s="31">
        <v>44</v>
      </c>
      <c r="E170" s="19" t="s">
        <v>36</v>
      </c>
      <c r="F170" s="86">
        <v>46268</v>
      </c>
      <c r="G170" s="33">
        <v>449600</v>
      </c>
      <c r="H170" s="33">
        <v>460840</v>
      </c>
      <c r="I170" s="33">
        <v>11.24</v>
      </c>
      <c r="P170" s="58"/>
    </row>
    <row r="171" spans="1:16" x14ac:dyDescent="0.3">
      <c r="A171" s="19" t="s">
        <v>15</v>
      </c>
      <c r="B171" s="32">
        <v>40700</v>
      </c>
      <c r="C171" s="32">
        <v>41000</v>
      </c>
      <c r="D171" s="31">
        <v>44</v>
      </c>
      <c r="F171" s="86">
        <v>46268</v>
      </c>
      <c r="G171" s="33">
        <v>3983716</v>
      </c>
      <c r="H171" s="33">
        <v>4013080</v>
      </c>
      <c r="I171" s="33">
        <v>97.88</v>
      </c>
      <c r="P171" s="58"/>
    </row>
    <row r="172" spans="1:16" x14ac:dyDescent="0.3">
      <c r="A172" s="19" t="s">
        <v>15</v>
      </c>
      <c r="B172" s="32">
        <v>40000</v>
      </c>
      <c r="C172" s="32">
        <v>41000</v>
      </c>
      <c r="D172" s="31">
        <v>44</v>
      </c>
      <c r="F172" s="86">
        <v>46268</v>
      </c>
      <c r="G172" s="33">
        <v>2701600.0000000005</v>
      </c>
      <c r="H172" s="33">
        <v>2769140.0000000005</v>
      </c>
      <c r="I172" s="33">
        <v>67.540000000000006</v>
      </c>
      <c r="P172" s="58"/>
    </row>
    <row r="173" spans="1:16" x14ac:dyDescent="0.3">
      <c r="B173" s="32">
        <v>1394000</v>
      </c>
      <c r="D173" s="31" t="s">
        <v>109</v>
      </c>
      <c r="F173" s="86">
        <v>46268</v>
      </c>
      <c r="G173" s="33">
        <v>1394000</v>
      </c>
      <c r="H173" s="33">
        <v>0</v>
      </c>
      <c r="P173" s="58"/>
    </row>
    <row r="174" spans="1:16" x14ac:dyDescent="0.3">
      <c r="A174" s="19" t="s">
        <v>11</v>
      </c>
      <c r="B174" s="32">
        <v>38150</v>
      </c>
      <c r="C174" s="32">
        <v>38150</v>
      </c>
      <c r="D174" s="31">
        <v>45</v>
      </c>
      <c r="E174" s="19" t="s">
        <v>24</v>
      </c>
      <c r="F174" s="86">
        <v>46274</v>
      </c>
      <c r="G174" s="33">
        <v>296807</v>
      </c>
      <c r="H174" s="33">
        <v>296807</v>
      </c>
      <c r="I174" s="33">
        <v>7.78</v>
      </c>
      <c r="P174" s="58"/>
    </row>
    <row r="175" spans="1:16" x14ac:dyDescent="0.3">
      <c r="A175" s="19" t="s">
        <v>11</v>
      </c>
      <c r="B175" s="32">
        <v>38150</v>
      </c>
      <c r="C175" s="32">
        <v>38150</v>
      </c>
      <c r="D175" s="31">
        <v>45</v>
      </c>
      <c r="F175" s="86">
        <v>46274</v>
      </c>
      <c r="G175" s="33">
        <v>904536.5</v>
      </c>
      <c r="H175" s="33">
        <v>904536.5</v>
      </c>
      <c r="I175" s="33">
        <v>23.71</v>
      </c>
      <c r="P175" s="58"/>
    </row>
    <row r="176" spans="1:16" x14ac:dyDescent="0.3">
      <c r="A176" s="19" t="s">
        <v>11</v>
      </c>
      <c r="B176" s="32">
        <v>38150</v>
      </c>
      <c r="C176" s="32">
        <v>38150</v>
      </c>
      <c r="D176" s="31">
        <v>45</v>
      </c>
      <c r="F176" s="86">
        <v>46274</v>
      </c>
      <c r="G176" s="33">
        <v>743543.49999999988</v>
      </c>
      <c r="H176" s="33">
        <v>743543.49999999988</v>
      </c>
      <c r="I176" s="33">
        <v>19.489999999999998</v>
      </c>
      <c r="P176" s="58"/>
    </row>
    <row r="177" spans="1:16" x14ac:dyDescent="0.3">
      <c r="A177" s="19" t="s">
        <v>11</v>
      </c>
      <c r="B177" s="32">
        <v>38150</v>
      </c>
      <c r="C177" s="32">
        <v>38150</v>
      </c>
      <c r="D177" s="31">
        <v>45</v>
      </c>
      <c r="F177" s="86">
        <v>46274</v>
      </c>
      <c r="G177" s="33">
        <v>448644</v>
      </c>
      <c r="H177" s="33">
        <v>448644</v>
      </c>
      <c r="I177" s="33">
        <v>11.76</v>
      </c>
      <c r="P177" s="58"/>
    </row>
    <row r="178" spans="1:16" x14ac:dyDescent="0.3">
      <c r="A178" s="19" t="s">
        <v>8</v>
      </c>
      <c r="B178" s="32">
        <v>39000</v>
      </c>
      <c r="C178" s="32">
        <v>39600</v>
      </c>
      <c r="D178" s="31">
        <v>46</v>
      </c>
      <c r="E178" s="19" t="s">
        <v>31</v>
      </c>
      <c r="F178" s="86">
        <v>46281</v>
      </c>
      <c r="G178" s="33">
        <v>5037629.9999999991</v>
      </c>
      <c r="H178" s="33">
        <v>5115131.9999999991</v>
      </c>
      <c r="I178" s="33">
        <v>129.16999999999999</v>
      </c>
      <c r="P178" s="58"/>
    </row>
    <row r="179" spans="1:16" x14ac:dyDescent="0.3">
      <c r="A179" s="19" t="s">
        <v>8</v>
      </c>
      <c r="B179" s="32">
        <v>39000</v>
      </c>
      <c r="C179" s="32">
        <v>39600</v>
      </c>
      <c r="D179" s="31">
        <v>46</v>
      </c>
      <c r="F179" s="86">
        <v>46281</v>
      </c>
      <c r="G179" s="33">
        <v>306540</v>
      </c>
      <c r="H179" s="33">
        <v>311256</v>
      </c>
      <c r="I179" s="33">
        <v>7.86</v>
      </c>
      <c r="P179" s="58"/>
    </row>
    <row r="180" spans="1:16" x14ac:dyDescent="0.3">
      <c r="A180" s="19" t="s">
        <v>8</v>
      </c>
      <c r="B180" s="32">
        <v>39000</v>
      </c>
      <c r="C180" s="32">
        <v>39600</v>
      </c>
      <c r="D180" s="31">
        <v>46</v>
      </c>
      <c r="F180" s="86">
        <v>46281</v>
      </c>
      <c r="G180" s="33">
        <v>3288870</v>
      </c>
      <c r="H180" s="33">
        <v>3339468</v>
      </c>
      <c r="I180" s="33">
        <v>84.33</v>
      </c>
      <c r="P180" s="58"/>
    </row>
    <row r="181" spans="1:16" x14ac:dyDescent="0.3">
      <c r="A181" s="19" t="s">
        <v>8</v>
      </c>
      <c r="B181" s="32">
        <v>39000</v>
      </c>
      <c r="C181" s="32">
        <v>39600</v>
      </c>
      <c r="D181" s="31">
        <v>46</v>
      </c>
      <c r="F181" s="86">
        <v>46281</v>
      </c>
      <c r="G181" s="33">
        <v>229710</v>
      </c>
      <c r="H181" s="33">
        <v>233244</v>
      </c>
      <c r="I181" s="33">
        <v>5.89</v>
      </c>
      <c r="P181" s="58"/>
    </row>
    <row r="182" spans="1:16" x14ac:dyDescent="0.3">
      <c r="A182" s="19" t="s">
        <v>8</v>
      </c>
      <c r="B182" s="32">
        <v>39000</v>
      </c>
      <c r="C182" s="32">
        <v>39600</v>
      </c>
      <c r="D182" s="31">
        <v>46</v>
      </c>
      <c r="F182" s="86">
        <v>46281</v>
      </c>
      <c r="G182" s="33">
        <v>539370</v>
      </c>
      <c r="H182" s="33">
        <v>547668</v>
      </c>
      <c r="I182" s="33">
        <v>13.83</v>
      </c>
      <c r="P182" s="58"/>
    </row>
    <row r="183" spans="1:16" x14ac:dyDescent="0.3">
      <c r="A183" s="19" t="s">
        <v>8</v>
      </c>
      <c r="B183" s="32">
        <v>39000</v>
      </c>
      <c r="C183" s="32">
        <v>39600</v>
      </c>
      <c r="D183" s="31">
        <v>46</v>
      </c>
      <c r="F183" s="86">
        <v>46281</v>
      </c>
      <c r="G183" s="33">
        <v>381420</v>
      </c>
      <c r="H183" s="33">
        <v>387288</v>
      </c>
      <c r="I183" s="33">
        <v>9.7799999999999994</v>
      </c>
      <c r="P183" s="58"/>
    </row>
    <row r="184" spans="1:16" x14ac:dyDescent="0.3">
      <c r="A184" s="19" t="s">
        <v>11</v>
      </c>
      <c r="B184" s="32">
        <v>38600</v>
      </c>
      <c r="C184" s="32">
        <v>38800</v>
      </c>
      <c r="D184" s="31">
        <v>47</v>
      </c>
      <c r="E184" s="19" t="s">
        <v>110</v>
      </c>
      <c r="F184" s="86">
        <v>46284</v>
      </c>
      <c r="G184" s="33">
        <v>2483910</v>
      </c>
      <c r="H184" s="33">
        <v>2496780</v>
      </c>
      <c r="I184" s="33">
        <v>64.349999999999994</v>
      </c>
      <c r="P184" s="58"/>
    </row>
    <row r="185" spans="1:16" x14ac:dyDescent="0.3">
      <c r="A185" s="19" t="s">
        <v>11</v>
      </c>
      <c r="B185" s="32">
        <v>38600</v>
      </c>
      <c r="C185" s="32">
        <v>38800</v>
      </c>
      <c r="D185" s="31">
        <v>47</v>
      </c>
      <c r="F185" s="86">
        <v>46284</v>
      </c>
      <c r="G185" s="33">
        <v>489834</v>
      </c>
      <c r="H185" s="33">
        <v>492372</v>
      </c>
      <c r="I185" s="33">
        <v>12.69</v>
      </c>
      <c r="P185" s="58"/>
    </row>
    <row r="186" spans="1:16" x14ac:dyDescent="0.3">
      <c r="A186" s="19" t="s">
        <v>11</v>
      </c>
      <c r="B186" s="32">
        <v>38600</v>
      </c>
      <c r="C186" s="32">
        <v>38800</v>
      </c>
      <c r="D186" s="31">
        <v>47</v>
      </c>
      <c r="F186" s="86">
        <v>46284</v>
      </c>
      <c r="G186" s="33">
        <v>601002</v>
      </c>
      <c r="H186" s="33">
        <v>604116</v>
      </c>
      <c r="I186" s="33">
        <v>15.57</v>
      </c>
      <c r="P186" s="58"/>
    </row>
    <row r="187" spans="1:16" x14ac:dyDescent="0.3">
      <c r="A187" s="19" t="s">
        <v>11</v>
      </c>
      <c r="B187" s="32">
        <v>38600</v>
      </c>
      <c r="C187" s="32">
        <v>38800</v>
      </c>
      <c r="D187" s="31">
        <v>47</v>
      </c>
      <c r="F187" s="86">
        <v>46284</v>
      </c>
      <c r="G187" s="33">
        <v>979282</v>
      </c>
      <c r="H187" s="33">
        <v>984356</v>
      </c>
      <c r="I187" s="33">
        <v>25.37</v>
      </c>
      <c r="P187" s="58"/>
    </row>
    <row r="188" spans="1:16" x14ac:dyDescent="0.3">
      <c r="A188" s="19" t="s">
        <v>11</v>
      </c>
      <c r="B188" s="32">
        <v>38100</v>
      </c>
      <c r="C188" s="32">
        <v>38150</v>
      </c>
      <c r="D188" s="31">
        <v>48</v>
      </c>
      <c r="E188" s="19" t="s">
        <v>24</v>
      </c>
      <c r="F188" s="86">
        <v>46284</v>
      </c>
      <c r="G188" s="33">
        <v>244602</v>
      </c>
      <c r="H188" s="33">
        <v>244923</v>
      </c>
      <c r="I188" s="33">
        <v>6.42</v>
      </c>
      <c r="P188" s="58"/>
    </row>
    <row r="189" spans="1:16" x14ac:dyDescent="0.3">
      <c r="A189" s="19" t="s">
        <v>11</v>
      </c>
      <c r="B189" s="32">
        <v>38100</v>
      </c>
      <c r="C189" s="32">
        <v>38150</v>
      </c>
      <c r="D189" s="31">
        <v>48</v>
      </c>
      <c r="F189" s="86">
        <v>46284</v>
      </c>
      <c r="G189" s="33">
        <v>231267</v>
      </c>
      <c r="H189" s="33">
        <v>231570.5</v>
      </c>
      <c r="I189" s="33">
        <v>6.07</v>
      </c>
      <c r="P189" s="58"/>
    </row>
    <row r="190" spans="1:16" x14ac:dyDescent="0.3">
      <c r="A190" s="19" t="s">
        <v>11</v>
      </c>
      <c r="B190" s="32">
        <v>38100</v>
      </c>
      <c r="C190" s="32">
        <v>38150</v>
      </c>
      <c r="D190" s="31">
        <v>48</v>
      </c>
      <c r="F190" s="86">
        <v>46284</v>
      </c>
      <c r="G190" s="33">
        <v>373380</v>
      </c>
      <c r="H190" s="33">
        <v>373870</v>
      </c>
      <c r="I190" s="33">
        <v>9.8000000000000007</v>
      </c>
      <c r="P190" s="58"/>
    </row>
    <row r="191" spans="1:16" x14ac:dyDescent="0.3">
      <c r="A191" s="19" t="s">
        <v>11</v>
      </c>
      <c r="B191" s="32">
        <v>38100</v>
      </c>
      <c r="C191" s="32">
        <v>38150</v>
      </c>
      <c r="D191" s="31">
        <v>48</v>
      </c>
      <c r="F191" s="86">
        <v>46284</v>
      </c>
      <c r="G191" s="33">
        <v>823722</v>
      </c>
      <c r="H191" s="33">
        <v>824803</v>
      </c>
      <c r="I191" s="33">
        <v>21.62</v>
      </c>
      <c r="P191" s="58"/>
    </row>
    <row r="192" spans="1:16" x14ac:dyDescent="0.3">
      <c r="A192" s="19" t="s">
        <v>11</v>
      </c>
      <c r="B192" s="32">
        <v>38100</v>
      </c>
      <c r="C192" s="32">
        <v>38150</v>
      </c>
      <c r="D192" s="31">
        <v>48</v>
      </c>
      <c r="F192" s="86">
        <v>46284</v>
      </c>
      <c r="G192" s="33">
        <v>150495</v>
      </c>
      <c r="H192" s="33">
        <v>150692.5</v>
      </c>
      <c r="I192" s="33">
        <v>3.95</v>
      </c>
      <c r="P192" s="58"/>
    </row>
    <row r="193" spans="1:16" x14ac:dyDescent="0.3">
      <c r="A193" s="19" t="s">
        <v>38</v>
      </c>
      <c r="B193" s="32">
        <v>39500</v>
      </c>
      <c r="C193" s="32">
        <v>41500</v>
      </c>
      <c r="D193" s="31">
        <v>49</v>
      </c>
      <c r="E193" s="19" t="s">
        <v>111</v>
      </c>
      <c r="F193" s="86">
        <v>46286</v>
      </c>
      <c r="G193" s="33">
        <v>125610</v>
      </c>
      <c r="H193" s="33">
        <v>131970</v>
      </c>
      <c r="I193" s="33">
        <v>3.18</v>
      </c>
      <c r="P193" s="58"/>
    </row>
    <row r="194" spans="1:16" x14ac:dyDescent="0.3">
      <c r="A194" s="19" t="s">
        <v>38</v>
      </c>
      <c r="B194" s="32">
        <v>39500</v>
      </c>
      <c r="C194" s="32">
        <v>41500</v>
      </c>
      <c r="D194" s="31">
        <v>49</v>
      </c>
      <c r="F194" s="86">
        <v>46286</v>
      </c>
      <c r="G194" s="33">
        <v>926670</v>
      </c>
      <c r="H194" s="33">
        <v>973590</v>
      </c>
      <c r="I194" s="33">
        <v>23.46</v>
      </c>
      <c r="P194" s="58"/>
    </row>
    <row r="195" spans="1:16" x14ac:dyDescent="0.3">
      <c r="A195" s="19" t="s">
        <v>38</v>
      </c>
      <c r="B195" s="32">
        <v>39500</v>
      </c>
      <c r="C195" s="32">
        <v>41500</v>
      </c>
      <c r="D195" s="31">
        <v>49</v>
      </c>
      <c r="F195" s="86">
        <v>46286</v>
      </c>
      <c r="G195" s="33">
        <v>154445</v>
      </c>
      <c r="H195" s="33">
        <v>162265</v>
      </c>
      <c r="I195" s="33">
        <v>3.91</v>
      </c>
      <c r="P195" s="58"/>
    </row>
    <row r="196" spans="1:16" x14ac:dyDescent="0.3">
      <c r="A196" s="19" t="s">
        <v>38</v>
      </c>
      <c r="B196" s="32">
        <v>39500</v>
      </c>
      <c r="C196" s="32">
        <v>41500</v>
      </c>
      <c r="D196" s="31">
        <v>49</v>
      </c>
      <c r="F196" s="86">
        <v>46286</v>
      </c>
      <c r="G196" s="33">
        <v>623705</v>
      </c>
      <c r="H196" s="33">
        <v>655285</v>
      </c>
      <c r="I196" s="33">
        <v>15.79</v>
      </c>
      <c r="P196" s="58"/>
    </row>
    <row r="197" spans="1:16" x14ac:dyDescent="0.3">
      <c r="A197" s="19" t="s">
        <v>11</v>
      </c>
      <c r="B197" s="32">
        <v>38100</v>
      </c>
      <c r="C197" s="32">
        <v>38150</v>
      </c>
      <c r="D197" s="31">
        <v>50</v>
      </c>
      <c r="E197" s="19" t="s">
        <v>24</v>
      </c>
      <c r="F197" s="86">
        <v>46288</v>
      </c>
      <c r="G197" s="33">
        <v>1203579</v>
      </c>
      <c r="H197" s="33">
        <v>1205158.5</v>
      </c>
      <c r="I197" s="33">
        <v>31.59</v>
      </c>
      <c r="P197" s="58"/>
    </row>
    <row r="198" spans="1:16" x14ac:dyDescent="0.3">
      <c r="A198" s="19" t="s">
        <v>11</v>
      </c>
      <c r="B198" s="32">
        <v>38100</v>
      </c>
      <c r="C198" s="32">
        <v>38150</v>
      </c>
      <c r="D198" s="31">
        <v>50</v>
      </c>
      <c r="F198" s="86">
        <v>46288</v>
      </c>
      <c r="G198" s="33">
        <v>968883</v>
      </c>
      <c r="H198" s="33">
        <v>970154.5</v>
      </c>
      <c r="I198" s="33">
        <v>25.43</v>
      </c>
      <c r="P198" s="58"/>
    </row>
    <row r="199" spans="1:16" x14ac:dyDescent="0.3">
      <c r="A199" s="19" t="s">
        <v>11</v>
      </c>
      <c r="B199" s="32">
        <v>38100</v>
      </c>
      <c r="C199" s="32">
        <v>38150</v>
      </c>
      <c r="D199" s="31">
        <v>50</v>
      </c>
      <c r="F199" s="86">
        <v>46288</v>
      </c>
      <c r="G199" s="33">
        <v>1514094</v>
      </c>
      <c r="H199" s="33">
        <v>1516081</v>
      </c>
      <c r="I199" s="33">
        <v>39.74</v>
      </c>
      <c r="P199" s="58"/>
    </row>
    <row r="200" spans="1:16" x14ac:dyDescent="0.3">
      <c r="A200" s="19" t="s">
        <v>11</v>
      </c>
      <c r="B200" s="32">
        <v>38100</v>
      </c>
      <c r="C200" s="32">
        <v>38150</v>
      </c>
      <c r="D200" s="31">
        <v>50</v>
      </c>
      <c r="F200" s="86">
        <v>46288</v>
      </c>
      <c r="G200" s="33">
        <v>75438</v>
      </c>
      <c r="H200" s="33">
        <v>75537</v>
      </c>
      <c r="I200" s="33">
        <v>1.98</v>
      </c>
      <c r="P200" s="58"/>
    </row>
    <row r="201" spans="1:16" x14ac:dyDescent="0.3">
      <c r="A201" s="19" t="s">
        <v>11</v>
      </c>
      <c r="B201" s="32">
        <v>38100</v>
      </c>
      <c r="C201" s="32">
        <v>38150</v>
      </c>
      <c r="D201" s="31">
        <v>50</v>
      </c>
      <c r="F201" s="86">
        <v>46288</v>
      </c>
      <c r="G201" s="33">
        <v>148590</v>
      </c>
      <c r="H201" s="33">
        <v>148785</v>
      </c>
      <c r="I201" s="33">
        <v>3.9</v>
      </c>
      <c r="P201" s="58"/>
    </row>
    <row r="202" spans="1:16" x14ac:dyDescent="0.3">
      <c r="A202" s="19" t="s">
        <v>11</v>
      </c>
      <c r="B202" s="32">
        <v>39500</v>
      </c>
      <c r="C202" s="32">
        <v>41300</v>
      </c>
      <c r="D202" s="31">
        <v>51</v>
      </c>
      <c r="E202" s="19" t="s">
        <v>112</v>
      </c>
      <c r="F202" s="86">
        <v>46292</v>
      </c>
      <c r="G202" s="33">
        <v>567615</v>
      </c>
      <c r="H202" s="33">
        <v>593481</v>
      </c>
      <c r="I202" s="33">
        <v>14.37</v>
      </c>
      <c r="P202" s="58"/>
    </row>
    <row r="203" spans="1:16" x14ac:dyDescent="0.3">
      <c r="A203" s="19" t="s">
        <v>11</v>
      </c>
      <c r="B203" s="32">
        <v>39500</v>
      </c>
      <c r="C203" s="32">
        <v>41300</v>
      </c>
      <c r="D203" s="31">
        <v>51</v>
      </c>
      <c r="F203" s="86">
        <v>46292</v>
      </c>
      <c r="G203" s="33">
        <v>386704.99999999994</v>
      </c>
      <c r="H203" s="33">
        <v>404326.99999999994</v>
      </c>
      <c r="I203" s="33">
        <v>9.7899999999999991</v>
      </c>
      <c r="P203" s="58"/>
    </row>
    <row r="204" spans="1:16" x14ac:dyDescent="0.3">
      <c r="A204" s="19" t="s">
        <v>11</v>
      </c>
      <c r="B204" s="32">
        <v>39500</v>
      </c>
      <c r="C204" s="32">
        <v>41300</v>
      </c>
      <c r="D204" s="31">
        <v>51</v>
      </c>
      <c r="F204" s="86">
        <v>46292</v>
      </c>
      <c r="G204" s="33">
        <v>1008435</v>
      </c>
      <c r="H204" s="33">
        <v>1054389</v>
      </c>
      <c r="I204" s="33">
        <v>25.53</v>
      </c>
      <c r="P204" s="58"/>
    </row>
    <row r="205" spans="1:16" x14ac:dyDescent="0.3">
      <c r="A205" s="19" t="s">
        <v>11</v>
      </c>
      <c r="B205" s="32">
        <v>39500</v>
      </c>
      <c r="C205" s="32">
        <v>41300</v>
      </c>
      <c r="D205" s="31">
        <v>51</v>
      </c>
      <c r="F205" s="86">
        <v>46292</v>
      </c>
      <c r="G205" s="33">
        <v>68730</v>
      </c>
      <c r="H205" s="33">
        <v>71862</v>
      </c>
      <c r="I205" s="33">
        <v>1.74</v>
      </c>
      <c r="P205" s="58"/>
    </row>
    <row r="206" spans="1:16" x14ac:dyDescent="0.3">
      <c r="A206" s="19" t="s">
        <v>11</v>
      </c>
      <c r="B206" s="32">
        <v>39500</v>
      </c>
      <c r="C206" s="32">
        <v>41300</v>
      </c>
      <c r="D206" s="31">
        <v>51</v>
      </c>
      <c r="F206" s="86">
        <v>46292</v>
      </c>
      <c r="G206" s="33">
        <v>234037.5</v>
      </c>
      <c r="H206" s="33">
        <v>244702.5</v>
      </c>
      <c r="I206" s="33">
        <v>5.9249999999999998</v>
      </c>
      <c r="P206" s="58"/>
    </row>
    <row r="207" spans="1:16" x14ac:dyDescent="0.3">
      <c r="A207" s="19" t="s">
        <v>11</v>
      </c>
      <c r="B207" s="32">
        <v>39500</v>
      </c>
      <c r="C207" s="32">
        <v>41300</v>
      </c>
      <c r="D207" s="31">
        <v>51</v>
      </c>
      <c r="F207" s="86">
        <v>46292</v>
      </c>
      <c r="G207" s="33">
        <v>232457.5</v>
      </c>
      <c r="H207" s="33">
        <v>243050.5</v>
      </c>
      <c r="I207" s="33">
        <v>5.8849999999999998</v>
      </c>
      <c r="P207" s="58"/>
    </row>
    <row r="208" spans="1:16" x14ac:dyDescent="0.3">
      <c r="A208" s="19" t="s">
        <v>11</v>
      </c>
      <c r="B208" s="32">
        <v>39500</v>
      </c>
      <c r="C208" s="32">
        <v>41300</v>
      </c>
      <c r="D208" s="31">
        <v>51</v>
      </c>
      <c r="F208" s="86">
        <v>46292</v>
      </c>
      <c r="G208" s="33">
        <v>855175</v>
      </c>
      <c r="H208" s="33">
        <v>894144.99999999988</v>
      </c>
      <c r="I208" s="33">
        <v>21.65</v>
      </c>
      <c r="P208" s="58"/>
    </row>
    <row r="209" spans="1:16" x14ac:dyDescent="0.3">
      <c r="A209" s="19" t="s">
        <v>11</v>
      </c>
      <c r="B209" s="32">
        <v>39500</v>
      </c>
      <c r="C209" s="32">
        <v>41300</v>
      </c>
      <c r="D209" s="31">
        <v>51</v>
      </c>
      <c r="F209" s="86">
        <v>46292</v>
      </c>
      <c r="G209" s="33">
        <v>1023445</v>
      </c>
      <c r="H209" s="33">
        <v>1070083</v>
      </c>
      <c r="I209" s="33">
        <v>25.91</v>
      </c>
      <c r="P209" s="58"/>
    </row>
    <row r="210" spans="1:16" x14ac:dyDescent="0.3">
      <c r="A210" s="19" t="s">
        <v>99</v>
      </c>
      <c r="B210" s="32">
        <v>38000</v>
      </c>
      <c r="C210" s="32">
        <v>40000</v>
      </c>
      <c r="D210" s="31">
        <v>52</v>
      </c>
      <c r="E210" s="19" t="s">
        <v>113</v>
      </c>
      <c r="F210" s="86">
        <v>46297</v>
      </c>
      <c r="G210" s="33">
        <v>639920</v>
      </c>
      <c r="H210" s="33">
        <v>673600</v>
      </c>
      <c r="I210" s="33">
        <v>16.84</v>
      </c>
      <c r="P210" s="58"/>
    </row>
    <row r="211" spans="1:16" x14ac:dyDescent="0.3">
      <c r="A211" s="19" t="s">
        <v>99</v>
      </c>
      <c r="B211" s="32">
        <v>38000</v>
      </c>
      <c r="C211" s="32">
        <v>40000</v>
      </c>
      <c r="D211" s="31">
        <v>52</v>
      </c>
      <c r="F211" s="86">
        <v>46297</v>
      </c>
      <c r="G211" s="33">
        <v>4018120.0000000005</v>
      </c>
      <c r="H211" s="33">
        <v>4229600</v>
      </c>
      <c r="I211" s="33">
        <v>105.74000000000001</v>
      </c>
      <c r="P211" s="58"/>
    </row>
    <row r="212" spans="1:16" x14ac:dyDescent="0.3">
      <c r="A212" s="19" t="s">
        <v>99</v>
      </c>
      <c r="B212" s="32">
        <v>38000</v>
      </c>
      <c r="C212" s="32">
        <v>40000</v>
      </c>
      <c r="D212" s="31">
        <v>52</v>
      </c>
      <c r="F212" s="86">
        <v>46297</v>
      </c>
      <c r="G212" s="33">
        <v>168720.00000000003</v>
      </c>
      <c r="H212" s="33">
        <v>177600.00000000003</v>
      </c>
      <c r="I212" s="33">
        <v>4.4400000000000004</v>
      </c>
      <c r="P212" s="58"/>
    </row>
    <row r="213" spans="1:16" x14ac:dyDescent="0.3">
      <c r="A213" s="19" t="s">
        <v>99</v>
      </c>
      <c r="B213" s="32">
        <v>38000</v>
      </c>
      <c r="C213" s="32">
        <v>40000</v>
      </c>
      <c r="D213" s="31">
        <v>52</v>
      </c>
      <c r="F213" s="86">
        <v>46297</v>
      </c>
      <c r="G213" s="33">
        <v>288800</v>
      </c>
      <c r="H213" s="33">
        <v>304000</v>
      </c>
      <c r="I213" s="33">
        <v>7.6</v>
      </c>
      <c r="P213" s="58"/>
    </row>
    <row r="214" spans="1:16" x14ac:dyDescent="0.3">
      <c r="A214" s="19" t="s">
        <v>11</v>
      </c>
      <c r="B214" s="32">
        <v>41150</v>
      </c>
      <c r="C214" s="32">
        <v>41500</v>
      </c>
      <c r="D214" s="31">
        <v>53</v>
      </c>
      <c r="E214" s="19" t="s">
        <v>114</v>
      </c>
      <c r="F214" s="86">
        <v>46303</v>
      </c>
      <c r="G214" s="33">
        <v>79831</v>
      </c>
      <c r="H214" s="33">
        <v>80510</v>
      </c>
      <c r="I214" s="33">
        <v>1.94</v>
      </c>
      <c r="P214" s="58"/>
    </row>
    <row r="215" spans="1:16" x14ac:dyDescent="0.3">
      <c r="A215" s="19" t="s">
        <v>11</v>
      </c>
      <c r="B215" s="32">
        <v>41150</v>
      </c>
      <c r="C215" s="32">
        <v>41500</v>
      </c>
      <c r="D215" s="31">
        <v>53</v>
      </c>
      <c r="F215" s="86">
        <v>46303</v>
      </c>
      <c r="G215" s="33">
        <v>79831</v>
      </c>
      <c r="H215" s="33">
        <v>80510</v>
      </c>
      <c r="I215" s="33">
        <v>1.94</v>
      </c>
      <c r="P215" s="58"/>
    </row>
    <row r="216" spans="1:16" x14ac:dyDescent="0.3">
      <c r="A216" s="19" t="s">
        <v>11</v>
      </c>
      <c r="B216" s="32">
        <v>41150</v>
      </c>
      <c r="C216" s="32">
        <v>41500</v>
      </c>
      <c r="D216" s="31">
        <v>53</v>
      </c>
      <c r="F216" s="86">
        <v>46303</v>
      </c>
      <c r="G216" s="33">
        <v>242785.00000000003</v>
      </c>
      <c r="H216" s="33">
        <v>244850.00000000003</v>
      </c>
      <c r="I216" s="33">
        <v>5.9</v>
      </c>
      <c r="P216" s="58"/>
    </row>
    <row r="217" spans="1:16" x14ac:dyDescent="0.3">
      <c r="A217" s="19" t="s">
        <v>11</v>
      </c>
      <c r="B217" s="32">
        <v>41150</v>
      </c>
      <c r="C217" s="32">
        <v>41500</v>
      </c>
      <c r="D217" s="31">
        <v>53</v>
      </c>
      <c r="F217" s="86">
        <v>46303</v>
      </c>
      <c r="G217" s="33">
        <v>783496</v>
      </c>
      <c r="H217" s="33">
        <v>790160</v>
      </c>
      <c r="I217" s="33">
        <v>19.04</v>
      </c>
      <c r="P217" s="58"/>
    </row>
    <row r="218" spans="1:16" x14ac:dyDescent="0.3">
      <c r="A218" s="19" t="s">
        <v>11</v>
      </c>
      <c r="B218" s="32">
        <v>41150</v>
      </c>
      <c r="C218" s="32">
        <v>41500</v>
      </c>
      <c r="D218" s="31">
        <v>53</v>
      </c>
      <c r="F218" s="86">
        <v>46303</v>
      </c>
      <c r="G218" s="33">
        <v>798309.99999999988</v>
      </c>
      <c r="H218" s="33">
        <v>805099.99999999988</v>
      </c>
      <c r="I218" s="33">
        <v>19.399999999999999</v>
      </c>
      <c r="P218" s="58"/>
    </row>
    <row r="219" spans="1:16" x14ac:dyDescent="0.3">
      <c r="A219" s="19" t="s">
        <v>11</v>
      </c>
      <c r="B219" s="32">
        <v>41150</v>
      </c>
      <c r="C219" s="32">
        <v>41500</v>
      </c>
      <c r="D219" s="31">
        <v>53</v>
      </c>
      <c r="F219" s="86">
        <v>46303</v>
      </c>
      <c r="G219" s="33">
        <v>2043509.0000000002</v>
      </c>
      <c r="H219" s="33">
        <v>2060890.0000000002</v>
      </c>
      <c r="I219" s="33">
        <v>49.660000000000004</v>
      </c>
      <c r="P219" s="58"/>
    </row>
    <row r="220" spans="1:16" x14ac:dyDescent="0.3">
      <c r="A220" s="19" t="s">
        <v>11</v>
      </c>
      <c r="B220" s="32">
        <v>39500</v>
      </c>
      <c r="C220" s="32">
        <v>39650</v>
      </c>
      <c r="D220" s="31">
        <v>54</v>
      </c>
      <c r="E220" s="19" t="s">
        <v>114</v>
      </c>
      <c r="F220" s="86">
        <v>46303</v>
      </c>
      <c r="G220" s="33">
        <v>1166040</v>
      </c>
      <c r="H220" s="33">
        <v>1170468</v>
      </c>
      <c r="I220" s="33">
        <v>29.52</v>
      </c>
      <c r="P220" s="58"/>
    </row>
    <row r="221" spans="1:16" x14ac:dyDescent="0.3">
      <c r="A221" s="19" t="s">
        <v>99</v>
      </c>
      <c r="B221" s="32">
        <v>39900</v>
      </c>
      <c r="C221" s="32">
        <v>41000</v>
      </c>
      <c r="D221" s="31">
        <v>55</v>
      </c>
      <c r="E221" s="19" t="s">
        <v>113</v>
      </c>
      <c r="F221" s="86">
        <v>46301</v>
      </c>
      <c r="G221" s="33">
        <v>183540</v>
      </c>
      <c r="H221" s="33">
        <v>188599.99999999997</v>
      </c>
      <c r="I221" s="33">
        <v>4.5999999999999996</v>
      </c>
      <c r="P221" s="58"/>
    </row>
    <row r="222" spans="1:16" x14ac:dyDescent="0.3">
      <c r="A222" s="19" t="s">
        <v>99</v>
      </c>
      <c r="B222" s="32">
        <v>39900</v>
      </c>
      <c r="C222" s="32">
        <v>41000</v>
      </c>
      <c r="D222" s="31">
        <v>55</v>
      </c>
      <c r="F222" s="86">
        <v>46301</v>
      </c>
      <c r="G222" s="33">
        <v>1178646</v>
      </c>
      <c r="H222" s="33">
        <v>1211140</v>
      </c>
      <c r="I222" s="33">
        <v>29.54</v>
      </c>
      <c r="P222" s="58"/>
    </row>
    <row r="223" spans="1:16" x14ac:dyDescent="0.3">
      <c r="A223" s="19" t="s">
        <v>99</v>
      </c>
      <c r="B223" s="32">
        <v>39900</v>
      </c>
      <c r="C223" s="32">
        <v>41000</v>
      </c>
      <c r="D223" s="31">
        <v>55</v>
      </c>
      <c r="F223" s="86">
        <v>46301</v>
      </c>
      <c r="G223" s="33">
        <v>156009</v>
      </c>
      <c r="H223" s="33">
        <v>160310</v>
      </c>
      <c r="I223" s="33">
        <v>3.91</v>
      </c>
      <c r="P223" s="58"/>
    </row>
    <row r="224" spans="1:16" x14ac:dyDescent="0.3">
      <c r="A224" s="19" t="s">
        <v>99</v>
      </c>
      <c r="B224" s="32">
        <v>39900</v>
      </c>
      <c r="C224" s="32">
        <v>41000</v>
      </c>
      <c r="D224" s="31">
        <v>55</v>
      </c>
      <c r="F224" s="86">
        <v>46301</v>
      </c>
      <c r="G224" s="33">
        <v>786429</v>
      </c>
      <c r="H224" s="33">
        <v>808110</v>
      </c>
      <c r="I224" s="33">
        <v>19.71</v>
      </c>
      <c r="P224" s="58"/>
    </row>
    <row r="225" spans="1:16" x14ac:dyDescent="0.3">
      <c r="A225" s="19" t="s">
        <v>99</v>
      </c>
      <c r="B225" s="32">
        <v>38000</v>
      </c>
      <c r="C225" s="32">
        <v>41000</v>
      </c>
      <c r="D225" s="31">
        <v>55</v>
      </c>
      <c r="F225" s="86">
        <v>46301</v>
      </c>
      <c r="G225" s="33">
        <v>2245990</v>
      </c>
      <c r="H225" s="33">
        <v>2423305</v>
      </c>
      <c r="I225" s="33">
        <v>59.104999999999997</v>
      </c>
      <c r="P225" s="58"/>
    </row>
    <row r="226" spans="1:16" x14ac:dyDescent="0.3">
      <c r="A226" s="19" t="s">
        <v>8</v>
      </c>
      <c r="B226" s="32">
        <v>38000</v>
      </c>
      <c r="C226" s="32">
        <v>40350</v>
      </c>
      <c r="D226" s="31">
        <v>57</v>
      </c>
      <c r="E226" s="19" t="s">
        <v>115</v>
      </c>
      <c r="F226" s="86">
        <v>46304</v>
      </c>
      <c r="G226" s="33">
        <v>1684160</v>
      </c>
      <c r="H226" s="33">
        <v>1788312</v>
      </c>
      <c r="I226" s="33">
        <v>44.32</v>
      </c>
      <c r="P226" s="58"/>
    </row>
    <row r="227" spans="1:16" x14ac:dyDescent="0.3">
      <c r="A227" s="19" t="s">
        <v>8</v>
      </c>
      <c r="B227" s="32">
        <v>40100</v>
      </c>
      <c r="C227" s="32">
        <v>40350</v>
      </c>
      <c r="D227" s="31">
        <v>57</v>
      </c>
      <c r="F227" s="86">
        <v>46304</v>
      </c>
      <c r="G227" s="33">
        <v>1573523.9999999998</v>
      </c>
      <c r="H227" s="33">
        <v>1583333.9999999998</v>
      </c>
      <c r="I227" s="33">
        <v>39.239999999999995</v>
      </c>
      <c r="P227" s="58"/>
    </row>
    <row r="228" spans="1:16" x14ac:dyDescent="0.3">
      <c r="A228" s="19" t="s">
        <v>8</v>
      </c>
      <c r="B228" s="32">
        <v>40100</v>
      </c>
      <c r="C228" s="32">
        <v>40350</v>
      </c>
      <c r="D228" s="31">
        <v>57</v>
      </c>
      <c r="F228" s="86">
        <v>46304</v>
      </c>
      <c r="G228" s="33">
        <v>1578737</v>
      </c>
      <c r="H228" s="33">
        <v>1588579.5</v>
      </c>
      <c r="I228" s="33">
        <v>39.369999999999997</v>
      </c>
      <c r="P228" s="58"/>
    </row>
    <row r="229" spans="1:16" x14ac:dyDescent="0.3">
      <c r="A229" s="19" t="s">
        <v>8</v>
      </c>
      <c r="B229" s="32">
        <v>40100</v>
      </c>
      <c r="C229" s="32">
        <v>40350</v>
      </c>
      <c r="D229" s="31">
        <v>57</v>
      </c>
      <c r="F229" s="86">
        <v>46304</v>
      </c>
      <c r="G229" s="33">
        <v>5912745</v>
      </c>
      <c r="H229" s="33">
        <v>5949607.5</v>
      </c>
      <c r="I229" s="33">
        <v>147.44999999999999</v>
      </c>
      <c r="P229" s="58"/>
    </row>
    <row r="230" spans="1:16" x14ac:dyDescent="0.3">
      <c r="A230" s="19" t="s">
        <v>8</v>
      </c>
      <c r="B230" s="32">
        <v>40100</v>
      </c>
      <c r="C230" s="32">
        <v>40350</v>
      </c>
      <c r="D230" s="31">
        <v>57</v>
      </c>
      <c r="F230" s="86">
        <v>46304</v>
      </c>
      <c r="G230" s="33">
        <v>61754</v>
      </c>
      <c r="H230" s="33">
        <v>62139</v>
      </c>
      <c r="I230" s="33">
        <v>1.54</v>
      </c>
      <c r="P230" s="58"/>
    </row>
    <row r="231" spans="1:16" x14ac:dyDescent="0.3">
      <c r="A231" s="19" t="s">
        <v>8</v>
      </c>
      <c r="B231" s="32">
        <v>40100</v>
      </c>
      <c r="C231" s="32">
        <v>40350</v>
      </c>
      <c r="D231" s="31">
        <v>57</v>
      </c>
      <c r="F231" s="86">
        <v>46304</v>
      </c>
      <c r="G231" s="33">
        <v>708166</v>
      </c>
      <c r="H231" s="33">
        <v>712581</v>
      </c>
      <c r="I231" s="33">
        <v>17.66</v>
      </c>
      <c r="P231" s="58"/>
    </row>
    <row r="232" spans="1:16" x14ac:dyDescent="0.3">
      <c r="A232" s="19" t="s">
        <v>8</v>
      </c>
      <c r="B232" s="32">
        <v>40100</v>
      </c>
      <c r="C232" s="32">
        <v>40350</v>
      </c>
      <c r="D232" s="31">
        <v>57</v>
      </c>
      <c r="F232" s="86">
        <v>46304</v>
      </c>
      <c r="G232" s="33">
        <v>314785</v>
      </c>
      <c r="H232" s="33">
        <v>316747.5</v>
      </c>
      <c r="I232" s="33">
        <v>7.85</v>
      </c>
      <c r="P232" s="58"/>
    </row>
    <row r="233" spans="1:16" x14ac:dyDescent="0.3">
      <c r="A233" s="19" t="s">
        <v>8</v>
      </c>
      <c r="B233" s="32">
        <v>40100</v>
      </c>
      <c r="C233" s="32">
        <v>40350</v>
      </c>
      <c r="D233" s="31">
        <v>57</v>
      </c>
      <c r="F233" s="86">
        <v>46304</v>
      </c>
      <c r="G233" s="33">
        <v>238194.00000000003</v>
      </c>
      <c r="H233" s="33">
        <v>239679.00000000003</v>
      </c>
      <c r="I233" s="33">
        <v>5.94</v>
      </c>
      <c r="P233" s="58"/>
    </row>
    <row r="234" spans="1:16" x14ac:dyDescent="0.3">
      <c r="A234" s="19" t="s">
        <v>8</v>
      </c>
      <c r="B234" s="32">
        <v>40100</v>
      </c>
      <c r="C234" s="32">
        <v>40350</v>
      </c>
      <c r="D234" s="31">
        <v>57</v>
      </c>
      <c r="F234" s="86">
        <v>46304</v>
      </c>
      <c r="G234" s="33">
        <v>78596</v>
      </c>
      <c r="H234" s="33">
        <v>79086</v>
      </c>
      <c r="I234" s="33">
        <v>1.96</v>
      </c>
      <c r="P234" s="58"/>
    </row>
    <row r="235" spans="1:16" x14ac:dyDescent="0.3">
      <c r="A235" s="19" t="s">
        <v>8</v>
      </c>
      <c r="B235" s="32">
        <v>40100</v>
      </c>
      <c r="C235" s="32">
        <v>40350</v>
      </c>
      <c r="D235" s="31">
        <v>57</v>
      </c>
      <c r="F235" s="86">
        <v>46304</v>
      </c>
      <c r="G235" s="33">
        <v>78195</v>
      </c>
      <c r="H235" s="33">
        <v>78682.5</v>
      </c>
      <c r="I235" s="33">
        <v>1.95</v>
      </c>
      <c r="P235" s="58"/>
    </row>
    <row r="236" spans="1:16" x14ac:dyDescent="0.3">
      <c r="A236" s="19" t="s">
        <v>8</v>
      </c>
      <c r="B236" s="32">
        <v>39450</v>
      </c>
      <c r="C236" s="32">
        <v>39600</v>
      </c>
      <c r="D236" s="31">
        <v>60</v>
      </c>
      <c r="E236" s="19" t="s">
        <v>114</v>
      </c>
      <c r="F236" s="86">
        <v>46306</v>
      </c>
      <c r="G236" s="33">
        <v>361362</v>
      </c>
      <c r="H236" s="33">
        <v>362736</v>
      </c>
      <c r="I236" s="33">
        <v>9.16</v>
      </c>
      <c r="P236" s="58"/>
    </row>
    <row r="237" spans="1:16" x14ac:dyDescent="0.3">
      <c r="A237" s="19" t="s">
        <v>8</v>
      </c>
      <c r="B237" s="32">
        <v>39450</v>
      </c>
      <c r="C237" s="32">
        <v>39600</v>
      </c>
      <c r="D237" s="31">
        <v>60</v>
      </c>
      <c r="F237" s="86">
        <v>46306</v>
      </c>
      <c r="G237" s="33">
        <v>2859336</v>
      </c>
      <c r="H237" s="33">
        <v>2870208</v>
      </c>
      <c r="I237" s="33">
        <v>72.48</v>
      </c>
      <c r="P237" s="58"/>
    </row>
    <row r="238" spans="1:16" x14ac:dyDescent="0.3">
      <c r="A238" s="19" t="s">
        <v>8</v>
      </c>
      <c r="B238" s="32">
        <v>39450</v>
      </c>
      <c r="C238" s="32">
        <v>39600</v>
      </c>
      <c r="D238" s="31">
        <v>60</v>
      </c>
      <c r="F238" s="86">
        <v>46306</v>
      </c>
      <c r="G238" s="33">
        <v>791761.5</v>
      </c>
      <c r="H238" s="33">
        <v>794772</v>
      </c>
      <c r="I238" s="33">
        <v>20.07</v>
      </c>
      <c r="P238" s="58"/>
    </row>
    <row r="239" spans="1:16" x14ac:dyDescent="0.3">
      <c r="A239" s="19" t="s">
        <v>8</v>
      </c>
      <c r="B239" s="32">
        <v>39450</v>
      </c>
      <c r="C239" s="32">
        <v>39600</v>
      </c>
      <c r="D239" s="31">
        <v>60</v>
      </c>
      <c r="F239" s="86">
        <v>46306</v>
      </c>
      <c r="G239" s="33">
        <v>1927132.5</v>
      </c>
      <c r="H239" s="33">
        <v>1934460</v>
      </c>
      <c r="I239" s="33">
        <v>48.85</v>
      </c>
      <c r="P239" s="58"/>
    </row>
    <row r="240" spans="1:16" x14ac:dyDescent="0.3">
      <c r="A240" s="19" t="s">
        <v>8</v>
      </c>
      <c r="B240" s="32">
        <v>39450</v>
      </c>
      <c r="C240" s="32">
        <v>39600</v>
      </c>
      <c r="D240" s="31">
        <v>60</v>
      </c>
      <c r="F240" s="86">
        <v>46306</v>
      </c>
      <c r="G240" s="33">
        <v>3652281</v>
      </c>
      <c r="H240" s="33">
        <v>3666168</v>
      </c>
      <c r="I240" s="33">
        <v>92.58</v>
      </c>
      <c r="P240" s="58"/>
    </row>
    <row r="241" spans="1:16" x14ac:dyDescent="0.3">
      <c r="A241" s="19" t="s">
        <v>8</v>
      </c>
      <c r="B241" s="32">
        <v>39450</v>
      </c>
      <c r="C241" s="32">
        <v>39600</v>
      </c>
      <c r="D241" s="31">
        <v>60</v>
      </c>
      <c r="F241" s="86">
        <v>46306</v>
      </c>
      <c r="G241" s="33">
        <v>3639656.9999999995</v>
      </c>
      <c r="H241" s="33">
        <v>3653495.9999999995</v>
      </c>
      <c r="I241" s="33">
        <v>92.259999999999991</v>
      </c>
      <c r="P241" s="58"/>
    </row>
    <row r="242" spans="1:16" x14ac:dyDescent="0.3">
      <c r="A242" s="19" t="s">
        <v>8</v>
      </c>
      <c r="B242" s="32">
        <v>39450</v>
      </c>
      <c r="C242" s="32">
        <v>39600</v>
      </c>
      <c r="D242" s="31">
        <v>60</v>
      </c>
      <c r="F242" s="86">
        <v>46306</v>
      </c>
      <c r="G242" s="33">
        <v>867900</v>
      </c>
      <c r="H242" s="33">
        <v>871200</v>
      </c>
      <c r="I242" s="33">
        <v>22</v>
      </c>
      <c r="P242" s="58"/>
    </row>
    <row r="243" spans="1:16" x14ac:dyDescent="0.3">
      <c r="A243" s="19" t="s">
        <v>8</v>
      </c>
      <c r="B243" s="32">
        <v>39450</v>
      </c>
      <c r="C243" s="32">
        <v>39600</v>
      </c>
      <c r="D243" s="31">
        <v>60</v>
      </c>
      <c r="F243" s="86">
        <v>46306</v>
      </c>
      <c r="G243" s="33">
        <v>962580</v>
      </c>
      <c r="H243" s="33">
        <v>966240</v>
      </c>
      <c r="I243" s="33">
        <v>24.4</v>
      </c>
      <c r="P243" s="58"/>
    </row>
    <row r="244" spans="1:16" x14ac:dyDescent="0.3">
      <c r="A244" s="19" t="s">
        <v>8</v>
      </c>
      <c r="B244" s="32">
        <v>39450</v>
      </c>
      <c r="C244" s="32">
        <v>39600</v>
      </c>
      <c r="D244" s="31">
        <v>60</v>
      </c>
      <c r="F244" s="86">
        <v>46306</v>
      </c>
      <c r="G244" s="33">
        <v>2566222.5</v>
      </c>
      <c r="H244" s="33">
        <v>2575980</v>
      </c>
      <c r="I244" s="33">
        <v>65.05</v>
      </c>
      <c r="P244" s="58"/>
    </row>
    <row r="245" spans="1:16" x14ac:dyDescent="0.3">
      <c r="A245" s="19" t="s">
        <v>8</v>
      </c>
      <c r="B245" s="32">
        <v>39450</v>
      </c>
      <c r="C245" s="32">
        <v>39600</v>
      </c>
      <c r="D245" s="31">
        <v>60</v>
      </c>
      <c r="F245" s="86">
        <v>46306</v>
      </c>
      <c r="G245" s="33">
        <v>873423</v>
      </c>
      <c r="H245" s="33">
        <v>876744</v>
      </c>
      <c r="I245" s="33">
        <v>22.14</v>
      </c>
      <c r="P245" s="58"/>
    </row>
    <row r="246" spans="1:16" x14ac:dyDescent="0.3">
      <c r="A246" s="19" t="s">
        <v>8</v>
      </c>
      <c r="B246" s="32">
        <v>39450</v>
      </c>
      <c r="C246" s="32">
        <v>39600</v>
      </c>
      <c r="D246" s="31">
        <v>60</v>
      </c>
      <c r="F246" s="86">
        <v>46306</v>
      </c>
      <c r="G246" s="33">
        <v>1940940</v>
      </c>
      <c r="H246" s="33">
        <v>1948320</v>
      </c>
      <c r="I246" s="33">
        <v>49.2</v>
      </c>
      <c r="P246" s="58"/>
    </row>
    <row r="247" spans="1:16" x14ac:dyDescent="0.3">
      <c r="A247" s="19" t="s">
        <v>8</v>
      </c>
      <c r="B247" s="32">
        <v>39450</v>
      </c>
      <c r="C247" s="32">
        <v>39600</v>
      </c>
      <c r="D247" s="31">
        <v>60</v>
      </c>
      <c r="F247" s="86">
        <v>46306</v>
      </c>
      <c r="G247" s="33">
        <v>2082565.5</v>
      </c>
      <c r="H247" s="33">
        <v>2090484</v>
      </c>
      <c r="I247" s="33">
        <v>52.79</v>
      </c>
      <c r="P247" s="58"/>
    </row>
    <row r="248" spans="1:16" x14ac:dyDescent="0.3">
      <c r="A248" s="19" t="s">
        <v>8</v>
      </c>
      <c r="B248" s="32">
        <v>39450</v>
      </c>
      <c r="C248" s="32">
        <v>39600</v>
      </c>
      <c r="D248" s="31">
        <v>60</v>
      </c>
      <c r="F248" s="86">
        <v>46306</v>
      </c>
      <c r="G248" s="33">
        <v>3878723.9999999995</v>
      </c>
      <c r="H248" s="33">
        <v>3893471.9999999995</v>
      </c>
      <c r="I248" s="33">
        <v>98.32</v>
      </c>
      <c r="P248" s="58"/>
    </row>
    <row r="249" spans="1:16" x14ac:dyDescent="0.3">
      <c r="A249" s="19" t="s">
        <v>11</v>
      </c>
      <c r="B249" s="32">
        <v>41600</v>
      </c>
      <c r="C249" s="32">
        <v>42000</v>
      </c>
      <c r="D249" s="31">
        <v>61</v>
      </c>
      <c r="E249" s="19" t="s">
        <v>116</v>
      </c>
      <c r="F249" s="86">
        <v>46307</v>
      </c>
      <c r="G249" s="33">
        <v>238784</v>
      </c>
      <c r="H249" s="33">
        <v>241080</v>
      </c>
      <c r="I249" s="33">
        <v>5.74</v>
      </c>
      <c r="P249" s="58"/>
    </row>
    <row r="250" spans="1:16" x14ac:dyDescent="0.3">
      <c r="A250" s="19" t="s">
        <v>11</v>
      </c>
      <c r="B250" s="32">
        <v>41600</v>
      </c>
      <c r="C250" s="32">
        <v>42000</v>
      </c>
      <c r="D250" s="31">
        <v>61</v>
      </c>
      <c r="F250" s="86">
        <v>46307</v>
      </c>
      <c r="G250" s="33">
        <v>321152</v>
      </c>
      <c r="H250" s="33">
        <v>324240</v>
      </c>
      <c r="I250" s="33">
        <v>7.72</v>
      </c>
      <c r="P250" s="58"/>
    </row>
    <row r="251" spans="1:16" x14ac:dyDescent="0.3">
      <c r="A251" s="19" t="s">
        <v>11</v>
      </c>
      <c r="B251" s="32">
        <v>41600</v>
      </c>
      <c r="C251" s="32">
        <v>42000</v>
      </c>
      <c r="D251" s="31">
        <v>61</v>
      </c>
      <c r="F251" s="86">
        <v>46307</v>
      </c>
      <c r="G251" s="33">
        <v>321984</v>
      </c>
      <c r="H251" s="33">
        <v>325080</v>
      </c>
      <c r="I251" s="33">
        <v>7.74</v>
      </c>
      <c r="P251" s="58"/>
    </row>
    <row r="252" spans="1:16" x14ac:dyDescent="0.3">
      <c r="A252" s="19" t="s">
        <v>11</v>
      </c>
      <c r="B252" s="32">
        <v>41600</v>
      </c>
      <c r="C252" s="32">
        <v>42000</v>
      </c>
      <c r="D252" s="31">
        <v>61</v>
      </c>
      <c r="F252" s="86">
        <v>46307</v>
      </c>
      <c r="G252" s="33">
        <v>162240</v>
      </c>
      <c r="H252" s="33">
        <v>163800</v>
      </c>
      <c r="I252" s="33">
        <v>3.9</v>
      </c>
      <c r="P252" s="58"/>
    </row>
    <row r="253" spans="1:16" x14ac:dyDescent="0.3">
      <c r="A253" s="19" t="s">
        <v>11</v>
      </c>
      <c r="B253" s="32">
        <v>41600</v>
      </c>
      <c r="C253" s="32">
        <v>42000</v>
      </c>
      <c r="D253" s="31">
        <v>61</v>
      </c>
      <c r="F253" s="86">
        <v>46307</v>
      </c>
      <c r="G253" s="33">
        <v>242112</v>
      </c>
      <c r="H253" s="33">
        <v>244440</v>
      </c>
      <c r="I253" s="33">
        <v>5.82</v>
      </c>
      <c r="P253" s="58"/>
    </row>
    <row r="254" spans="1:16" x14ac:dyDescent="0.3">
      <c r="A254" s="19" t="s">
        <v>11</v>
      </c>
      <c r="B254" s="32">
        <v>41600</v>
      </c>
      <c r="C254" s="32">
        <v>42000</v>
      </c>
      <c r="D254" s="31">
        <v>61</v>
      </c>
      <c r="F254" s="86">
        <v>46307</v>
      </c>
      <c r="G254" s="33">
        <v>324480</v>
      </c>
      <c r="H254" s="33">
        <v>327600</v>
      </c>
      <c r="I254" s="33">
        <v>7.8</v>
      </c>
      <c r="P254" s="58"/>
    </row>
    <row r="255" spans="1:16" x14ac:dyDescent="0.3">
      <c r="A255" s="19" t="s">
        <v>11</v>
      </c>
      <c r="B255" s="32">
        <v>39800</v>
      </c>
      <c r="C255" s="32">
        <v>40000</v>
      </c>
      <c r="D255" s="31">
        <v>62</v>
      </c>
      <c r="E255" s="19" t="s">
        <v>117</v>
      </c>
      <c r="F255" s="86">
        <v>46307</v>
      </c>
      <c r="G255" s="33">
        <v>184473</v>
      </c>
      <c r="H255" s="33">
        <v>185400</v>
      </c>
      <c r="I255" s="33">
        <v>4.6349999999999998</v>
      </c>
      <c r="P255" s="58"/>
    </row>
    <row r="256" spans="1:16" x14ac:dyDescent="0.3">
      <c r="A256" s="19" t="s">
        <v>11</v>
      </c>
      <c r="B256" s="32">
        <v>39800</v>
      </c>
      <c r="C256" s="32">
        <v>40000</v>
      </c>
      <c r="D256" s="31">
        <v>62</v>
      </c>
      <c r="F256" s="86">
        <v>46307</v>
      </c>
      <c r="G256" s="33">
        <v>711823.00000000012</v>
      </c>
      <c r="H256" s="33">
        <v>715400.00000000012</v>
      </c>
      <c r="I256" s="33">
        <v>17.885000000000002</v>
      </c>
      <c r="P256" s="58"/>
    </row>
    <row r="257" spans="1:16" x14ac:dyDescent="0.3">
      <c r="A257" s="19" t="s">
        <v>11</v>
      </c>
      <c r="B257" s="32">
        <v>39800</v>
      </c>
      <c r="C257" s="32">
        <v>40000</v>
      </c>
      <c r="D257" s="31">
        <v>62</v>
      </c>
      <c r="F257" s="86">
        <v>46307</v>
      </c>
      <c r="G257" s="33">
        <v>930325</v>
      </c>
      <c r="H257" s="33">
        <v>935000</v>
      </c>
      <c r="I257" s="33">
        <v>23.375</v>
      </c>
      <c r="P257" s="58"/>
    </row>
    <row r="258" spans="1:16" x14ac:dyDescent="0.3">
      <c r="A258" s="19" t="s">
        <v>11</v>
      </c>
      <c r="B258" s="32">
        <v>39800</v>
      </c>
      <c r="C258" s="32">
        <v>40000</v>
      </c>
      <c r="D258" s="31">
        <v>62</v>
      </c>
      <c r="F258" s="86">
        <v>46307</v>
      </c>
      <c r="G258" s="33">
        <v>1950200</v>
      </c>
      <c r="H258" s="33">
        <v>1960000</v>
      </c>
      <c r="I258" s="33">
        <v>49</v>
      </c>
      <c r="P258" s="58"/>
    </row>
    <row r="259" spans="1:16" x14ac:dyDescent="0.3">
      <c r="A259" s="19" t="s">
        <v>11</v>
      </c>
      <c r="B259" s="32">
        <v>39800</v>
      </c>
      <c r="C259" s="32">
        <v>40100</v>
      </c>
      <c r="D259" s="31">
        <v>63</v>
      </c>
      <c r="E259" s="19" t="s">
        <v>117</v>
      </c>
      <c r="F259" s="86">
        <v>46308</v>
      </c>
      <c r="G259" s="33">
        <v>77212</v>
      </c>
      <c r="H259" s="33">
        <v>77794</v>
      </c>
      <c r="I259" s="33">
        <v>1.94</v>
      </c>
      <c r="P259" s="58"/>
    </row>
    <row r="260" spans="1:16" x14ac:dyDescent="0.3">
      <c r="A260" s="19" t="s">
        <v>11</v>
      </c>
      <c r="B260" s="32">
        <v>39800</v>
      </c>
      <c r="C260" s="32">
        <v>40100</v>
      </c>
      <c r="D260" s="31">
        <v>63</v>
      </c>
      <c r="F260" s="86">
        <v>46308</v>
      </c>
      <c r="G260" s="33">
        <v>77212</v>
      </c>
      <c r="H260" s="33">
        <v>77794</v>
      </c>
      <c r="I260" s="33">
        <v>1.94</v>
      </c>
      <c r="P260" s="58"/>
    </row>
    <row r="261" spans="1:16" x14ac:dyDescent="0.3">
      <c r="A261" s="19" t="s">
        <v>11</v>
      </c>
      <c r="B261" s="32">
        <v>39800</v>
      </c>
      <c r="C261" s="32">
        <v>40100</v>
      </c>
      <c r="D261" s="31">
        <v>63</v>
      </c>
      <c r="F261" s="86">
        <v>46308</v>
      </c>
      <c r="G261" s="33">
        <v>78804</v>
      </c>
      <c r="H261" s="33">
        <v>79398</v>
      </c>
      <c r="I261" s="33">
        <v>1.98</v>
      </c>
      <c r="P261" s="58"/>
    </row>
    <row r="262" spans="1:16" x14ac:dyDescent="0.3">
      <c r="A262" s="19" t="s">
        <v>11</v>
      </c>
      <c r="B262" s="32">
        <v>39800</v>
      </c>
      <c r="C262" s="32">
        <v>40100</v>
      </c>
      <c r="D262" s="31">
        <v>63</v>
      </c>
      <c r="F262" s="86">
        <v>46308</v>
      </c>
      <c r="G262" s="33">
        <v>77610</v>
      </c>
      <c r="H262" s="33">
        <v>78195</v>
      </c>
      <c r="I262" s="33">
        <v>1.95</v>
      </c>
      <c r="P262" s="58"/>
    </row>
    <row r="263" spans="1:16" x14ac:dyDescent="0.3">
      <c r="A263" s="19" t="s">
        <v>11</v>
      </c>
      <c r="B263" s="32">
        <v>39800</v>
      </c>
      <c r="C263" s="32">
        <v>40100</v>
      </c>
      <c r="D263" s="31">
        <v>63</v>
      </c>
      <c r="F263" s="86">
        <v>46308</v>
      </c>
      <c r="G263" s="33">
        <v>480784</v>
      </c>
      <c r="H263" s="33">
        <v>484408</v>
      </c>
      <c r="I263" s="33">
        <v>12.08</v>
      </c>
      <c r="P263" s="58"/>
    </row>
    <row r="264" spans="1:16" x14ac:dyDescent="0.3">
      <c r="A264" s="19" t="s">
        <v>11</v>
      </c>
      <c r="B264" s="32">
        <v>39800</v>
      </c>
      <c r="C264" s="32">
        <v>40100</v>
      </c>
      <c r="D264" s="31">
        <v>63</v>
      </c>
      <c r="F264" s="86">
        <v>46308</v>
      </c>
      <c r="G264" s="33">
        <v>6326210</v>
      </c>
      <c r="H264" s="33">
        <v>6373895</v>
      </c>
      <c r="I264" s="33">
        <v>158.94999999999999</v>
      </c>
      <c r="P264" s="58"/>
    </row>
    <row r="265" spans="1:16" x14ac:dyDescent="0.3">
      <c r="A265" s="19" t="s">
        <v>8</v>
      </c>
      <c r="B265" s="32">
        <v>40100</v>
      </c>
      <c r="C265" s="32">
        <v>40500</v>
      </c>
      <c r="D265" s="31">
        <v>64</v>
      </c>
      <c r="E265" s="19" t="s">
        <v>115</v>
      </c>
      <c r="F265" s="86">
        <v>46309</v>
      </c>
      <c r="G265" s="33">
        <v>122706</v>
      </c>
      <c r="H265" s="33">
        <v>123930</v>
      </c>
      <c r="I265" s="33">
        <v>3.06</v>
      </c>
      <c r="P265" s="58"/>
    </row>
    <row r="266" spans="1:16" x14ac:dyDescent="0.3">
      <c r="A266" s="19" t="s">
        <v>8</v>
      </c>
      <c r="B266" s="32">
        <v>40100</v>
      </c>
      <c r="C266" s="32">
        <v>40500</v>
      </c>
      <c r="D266" s="31">
        <v>64</v>
      </c>
      <c r="F266" s="86">
        <v>46309</v>
      </c>
      <c r="G266" s="33">
        <v>481400.50000000006</v>
      </c>
      <c r="H266" s="33">
        <v>486202.50000000006</v>
      </c>
      <c r="I266" s="33">
        <v>12.005000000000001</v>
      </c>
      <c r="P266" s="58"/>
    </row>
    <row r="267" spans="1:16" x14ac:dyDescent="0.3">
      <c r="A267" s="19" t="s">
        <v>8</v>
      </c>
      <c r="B267" s="32">
        <v>40100</v>
      </c>
      <c r="C267" s="32">
        <v>40500</v>
      </c>
      <c r="D267" s="31">
        <v>64</v>
      </c>
      <c r="F267" s="86">
        <v>46309</v>
      </c>
      <c r="G267" s="33">
        <v>157793.5</v>
      </c>
      <c r="H267" s="33">
        <v>159367.5</v>
      </c>
      <c r="I267" s="33">
        <v>3.9350000000000001</v>
      </c>
      <c r="P267" s="58"/>
    </row>
    <row r="268" spans="1:16" x14ac:dyDescent="0.3">
      <c r="A268" s="19" t="s">
        <v>8</v>
      </c>
      <c r="B268" s="32">
        <v>40100</v>
      </c>
      <c r="C268" s="32">
        <v>40500</v>
      </c>
      <c r="D268" s="31">
        <v>64</v>
      </c>
      <c r="F268" s="86">
        <v>46309</v>
      </c>
      <c r="G268" s="33">
        <v>394383.50000000006</v>
      </c>
      <c r="H268" s="33">
        <v>398317.50000000006</v>
      </c>
      <c r="I268" s="33">
        <v>9.8350000000000009</v>
      </c>
      <c r="P268" s="58"/>
    </row>
    <row r="269" spans="1:16" x14ac:dyDescent="0.3">
      <c r="A269" s="19" t="s">
        <v>8</v>
      </c>
      <c r="B269" s="32">
        <v>40100</v>
      </c>
      <c r="C269" s="32">
        <v>40500</v>
      </c>
      <c r="D269" s="31">
        <v>64</v>
      </c>
      <c r="F269" s="86">
        <v>46309</v>
      </c>
      <c r="G269" s="33">
        <v>80600.999999999985</v>
      </c>
      <c r="H269" s="33">
        <v>81404.999999999985</v>
      </c>
      <c r="I269" s="33">
        <v>2.0099999999999998</v>
      </c>
      <c r="P269" s="58"/>
    </row>
    <row r="270" spans="1:16" x14ac:dyDescent="0.3">
      <c r="A270" s="19" t="s">
        <v>8</v>
      </c>
      <c r="B270" s="32">
        <v>40100</v>
      </c>
      <c r="C270" s="32">
        <v>40500</v>
      </c>
      <c r="D270" s="31">
        <v>67</v>
      </c>
      <c r="E270" s="19" t="s">
        <v>115</v>
      </c>
      <c r="F270" s="86">
        <v>46309</v>
      </c>
      <c r="G270" s="33">
        <v>62355.5</v>
      </c>
      <c r="H270" s="33">
        <v>62977.5</v>
      </c>
      <c r="I270" s="33">
        <v>1.5549999999999999</v>
      </c>
      <c r="P270" s="58"/>
    </row>
    <row r="271" spans="1:16" x14ac:dyDescent="0.3">
      <c r="A271" s="19" t="s">
        <v>8</v>
      </c>
      <c r="B271" s="32">
        <v>40100</v>
      </c>
      <c r="C271" s="32">
        <v>40500</v>
      </c>
      <c r="D271" s="31">
        <v>67</v>
      </c>
      <c r="F271" s="86">
        <v>46309</v>
      </c>
      <c r="G271" s="33">
        <v>159397.5</v>
      </c>
      <c r="H271" s="33">
        <v>160987.5</v>
      </c>
      <c r="I271" s="33">
        <v>3.9750000000000001</v>
      </c>
      <c r="P271" s="58"/>
    </row>
    <row r="272" spans="1:16" x14ac:dyDescent="0.3">
      <c r="A272" s="19" t="s">
        <v>8</v>
      </c>
      <c r="B272" s="32">
        <v>40100</v>
      </c>
      <c r="C272" s="32">
        <v>40500</v>
      </c>
      <c r="D272" s="31">
        <v>67</v>
      </c>
      <c r="F272" s="86">
        <v>46309</v>
      </c>
      <c r="G272" s="33">
        <v>79197.5</v>
      </c>
      <c r="H272" s="33">
        <v>79987.5</v>
      </c>
      <c r="I272" s="33">
        <v>1.9750000000000001</v>
      </c>
      <c r="P272" s="58"/>
    </row>
    <row r="273" spans="1:16" x14ac:dyDescent="0.3">
      <c r="A273" s="19" t="s">
        <v>8</v>
      </c>
      <c r="B273" s="32">
        <v>40100</v>
      </c>
      <c r="C273" s="32">
        <v>40500</v>
      </c>
      <c r="D273" s="31">
        <v>67</v>
      </c>
      <c r="F273" s="86">
        <v>46309</v>
      </c>
      <c r="G273" s="33">
        <v>236590</v>
      </c>
      <c r="H273" s="33">
        <v>238950</v>
      </c>
      <c r="I273" s="33">
        <v>5.9</v>
      </c>
      <c r="P273" s="58"/>
    </row>
    <row r="274" spans="1:16" x14ac:dyDescent="0.3">
      <c r="A274" s="19" t="s">
        <v>11</v>
      </c>
      <c r="B274" s="32">
        <v>39100</v>
      </c>
      <c r="C274" s="32">
        <v>39300</v>
      </c>
      <c r="D274" s="31">
        <v>68</v>
      </c>
      <c r="E274" s="19" t="s">
        <v>114</v>
      </c>
      <c r="F274" s="86">
        <v>46309</v>
      </c>
      <c r="G274" s="33">
        <v>1158142</v>
      </c>
      <c r="H274" s="33">
        <v>1164066</v>
      </c>
      <c r="I274" s="33">
        <v>29.62</v>
      </c>
      <c r="P274" s="58"/>
    </row>
    <row r="275" spans="1:16" x14ac:dyDescent="0.3">
      <c r="A275" s="19" t="s">
        <v>11</v>
      </c>
      <c r="B275" s="32">
        <v>39100</v>
      </c>
      <c r="C275" s="32">
        <v>39300</v>
      </c>
      <c r="D275" s="31">
        <v>69</v>
      </c>
      <c r="E275" s="19" t="s">
        <v>114</v>
      </c>
      <c r="F275" s="86">
        <v>46312</v>
      </c>
      <c r="G275" s="33">
        <v>1774358</v>
      </c>
      <c r="H275" s="33">
        <v>1783434</v>
      </c>
      <c r="I275" s="33">
        <v>45.38</v>
      </c>
      <c r="P275" s="58"/>
    </row>
    <row r="276" spans="1:16" x14ac:dyDescent="0.3">
      <c r="A276" s="19" t="s">
        <v>100</v>
      </c>
      <c r="B276" s="32">
        <v>41150</v>
      </c>
      <c r="C276" s="32">
        <v>42500</v>
      </c>
      <c r="D276" s="31">
        <v>70</v>
      </c>
      <c r="E276" s="19" t="s">
        <v>118</v>
      </c>
      <c r="F276" s="86">
        <v>46310</v>
      </c>
      <c r="G276" s="33">
        <v>471579.00000000006</v>
      </c>
      <c r="H276" s="33">
        <v>487050.00000000006</v>
      </c>
      <c r="I276" s="33">
        <v>11.46</v>
      </c>
      <c r="P276" s="58"/>
    </row>
    <row r="277" spans="1:16" x14ac:dyDescent="0.3">
      <c r="A277" s="19" t="s">
        <v>100</v>
      </c>
      <c r="B277" s="32">
        <v>41150</v>
      </c>
      <c r="C277" s="32">
        <v>42500</v>
      </c>
      <c r="D277" s="31">
        <v>70</v>
      </c>
      <c r="F277" s="86">
        <v>46310</v>
      </c>
      <c r="G277" s="33">
        <v>712718</v>
      </c>
      <c r="H277" s="33">
        <v>736100</v>
      </c>
      <c r="I277" s="33">
        <v>17.32</v>
      </c>
      <c r="P277" s="58"/>
    </row>
    <row r="278" spans="1:16" x14ac:dyDescent="0.3">
      <c r="A278" s="19" t="s">
        <v>100</v>
      </c>
      <c r="B278" s="32">
        <v>41150</v>
      </c>
      <c r="C278" s="32">
        <v>42500</v>
      </c>
      <c r="D278" s="31">
        <v>70</v>
      </c>
      <c r="F278" s="86">
        <v>46310</v>
      </c>
      <c r="G278" s="33">
        <v>402447</v>
      </c>
      <c r="H278" s="33">
        <v>415650</v>
      </c>
      <c r="I278" s="33">
        <v>9.7799999999999994</v>
      </c>
      <c r="P278" s="58"/>
    </row>
    <row r="279" spans="1:16" x14ac:dyDescent="0.3">
      <c r="A279" s="19" t="s">
        <v>100</v>
      </c>
      <c r="B279" s="32">
        <v>38500</v>
      </c>
      <c r="C279" s="32">
        <v>42500</v>
      </c>
      <c r="D279" s="31">
        <v>70</v>
      </c>
      <c r="F279" s="86">
        <v>46310</v>
      </c>
      <c r="G279" s="33">
        <v>402710.00000000006</v>
      </c>
      <c r="H279" s="33">
        <v>444550.00000000006</v>
      </c>
      <c r="I279" s="33">
        <v>10.46</v>
      </c>
      <c r="P279" s="58"/>
    </row>
    <row r="280" spans="1:16" x14ac:dyDescent="0.3">
      <c r="A280" s="19" t="s">
        <v>11</v>
      </c>
      <c r="B280" s="32">
        <v>39200</v>
      </c>
      <c r="C280" s="32">
        <v>39300</v>
      </c>
      <c r="D280" s="31">
        <v>71</v>
      </c>
      <c r="E280" s="19" t="s">
        <v>114</v>
      </c>
      <c r="F280" s="86">
        <v>46313</v>
      </c>
      <c r="G280" s="33">
        <v>232651.99999999997</v>
      </c>
      <c r="H280" s="33">
        <v>233245.49999999997</v>
      </c>
      <c r="I280" s="33">
        <v>5.9349999999999996</v>
      </c>
      <c r="P280" s="58"/>
    </row>
    <row r="281" spans="1:16" x14ac:dyDescent="0.3">
      <c r="A281" s="19" t="s">
        <v>11</v>
      </c>
      <c r="B281" s="32">
        <v>39200</v>
      </c>
      <c r="C281" s="32">
        <v>39300</v>
      </c>
      <c r="D281" s="31">
        <v>71</v>
      </c>
      <c r="F281" s="86">
        <v>46313</v>
      </c>
      <c r="G281" s="33">
        <v>614656</v>
      </c>
      <c r="H281" s="33">
        <v>616224</v>
      </c>
      <c r="I281" s="33">
        <v>15.68</v>
      </c>
      <c r="P281" s="58"/>
    </row>
    <row r="282" spans="1:16" x14ac:dyDescent="0.3">
      <c r="A282" s="19" t="s">
        <v>11</v>
      </c>
      <c r="B282" s="32">
        <v>39200</v>
      </c>
      <c r="C282" s="32">
        <v>39300</v>
      </c>
      <c r="D282" s="31">
        <v>71</v>
      </c>
      <c r="F282" s="86">
        <v>46313</v>
      </c>
      <c r="G282" s="33">
        <v>305956</v>
      </c>
      <c r="H282" s="33">
        <v>306736.5</v>
      </c>
      <c r="I282" s="33">
        <v>7.8049999999999997</v>
      </c>
      <c r="P282" s="58"/>
    </row>
    <row r="283" spans="1:16" x14ac:dyDescent="0.3">
      <c r="A283" s="19" t="s">
        <v>99</v>
      </c>
      <c r="B283" s="32">
        <v>39800</v>
      </c>
      <c r="C283" s="32">
        <v>41000</v>
      </c>
      <c r="D283" s="31">
        <v>72</v>
      </c>
      <c r="E283" s="19" t="s">
        <v>119</v>
      </c>
      <c r="F283" s="86">
        <v>46313</v>
      </c>
      <c r="G283" s="33">
        <v>1982637</v>
      </c>
      <c r="H283" s="33">
        <v>2042415</v>
      </c>
      <c r="I283" s="33">
        <v>49.814999999999998</v>
      </c>
      <c r="P283" s="58"/>
    </row>
    <row r="284" spans="1:16" x14ac:dyDescent="0.3">
      <c r="A284" s="19" t="s">
        <v>99</v>
      </c>
      <c r="B284" s="32">
        <v>39800</v>
      </c>
      <c r="C284" s="32">
        <v>41000</v>
      </c>
      <c r="D284" s="31">
        <v>72</v>
      </c>
      <c r="F284" s="86">
        <v>46313</v>
      </c>
      <c r="G284" s="33">
        <v>390637</v>
      </c>
      <c r="H284" s="33">
        <v>402415</v>
      </c>
      <c r="I284" s="33">
        <v>9.8149999999999995</v>
      </c>
      <c r="P284" s="58"/>
    </row>
    <row r="285" spans="1:16" x14ac:dyDescent="0.3">
      <c r="A285" s="19" t="s">
        <v>99</v>
      </c>
      <c r="B285" s="32">
        <v>3960</v>
      </c>
      <c r="C285" s="32">
        <v>4200</v>
      </c>
      <c r="D285" s="31">
        <v>72</v>
      </c>
      <c r="F285" s="86">
        <v>46313</v>
      </c>
      <c r="G285" s="33">
        <v>277200</v>
      </c>
      <c r="H285" s="33">
        <v>294000</v>
      </c>
      <c r="I285" s="33">
        <v>70</v>
      </c>
      <c r="P285" s="58"/>
    </row>
    <row r="286" spans="1:16" x14ac:dyDescent="0.3">
      <c r="A286" s="19" t="s">
        <v>99</v>
      </c>
      <c r="B286" s="32">
        <v>3960</v>
      </c>
      <c r="C286" s="32">
        <v>4200</v>
      </c>
      <c r="D286" s="31">
        <v>72</v>
      </c>
      <c r="F286" s="86">
        <v>46313</v>
      </c>
      <c r="G286" s="33">
        <v>297000</v>
      </c>
      <c r="H286" s="33">
        <v>315000</v>
      </c>
      <c r="I286" s="33">
        <v>75</v>
      </c>
      <c r="P286" s="58"/>
    </row>
    <row r="287" spans="1:16" x14ac:dyDescent="0.3">
      <c r="A287" s="19" t="s">
        <v>8</v>
      </c>
      <c r="B287" s="32">
        <v>40100</v>
      </c>
      <c r="C287" s="32">
        <v>40400</v>
      </c>
      <c r="D287" s="31">
        <v>73</v>
      </c>
      <c r="E287" s="19" t="s">
        <v>115</v>
      </c>
      <c r="F287" s="86">
        <v>46314</v>
      </c>
      <c r="G287" s="33">
        <v>1598386</v>
      </c>
      <c r="H287" s="33">
        <v>1610344</v>
      </c>
      <c r="I287" s="33">
        <v>39.86</v>
      </c>
      <c r="P287" s="58"/>
    </row>
    <row r="288" spans="1:16" x14ac:dyDescent="0.3">
      <c r="A288" s="19" t="s">
        <v>8</v>
      </c>
      <c r="B288" s="32">
        <v>40100</v>
      </c>
      <c r="C288" s="32">
        <v>40400</v>
      </c>
      <c r="D288" s="31">
        <v>73</v>
      </c>
      <c r="F288" s="86">
        <v>46314</v>
      </c>
      <c r="G288" s="33">
        <v>1575930</v>
      </c>
      <c r="H288" s="33">
        <v>1587720</v>
      </c>
      <c r="I288" s="33">
        <v>39.299999999999997</v>
      </c>
      <c r="P288" s="58"/>
    </row>
    <row r="289" spans="1:16" x14ac:dyDescent="0.3">
      <c r="A289" s="19" t="s">
        <v>8</v>
      </c>
      <c r="B289" s="32">
        <v>40100</v>
      </c>
      <c r="C289" s="32">
        <v>40400</v>
      </c>
      <c r="D289" s="31">
        <v>73</v>
      </c>
      <c r="F289" s="86">
        <v>46314</v>
      </c>
      <c r="G289" s="33">
        <v>1583549</v>
      </c>
      <c r="H289" s="33">
        <v>1595396</v>
      </c>
      <c r="I289" s="33">
        <v>39.49</v>
      </c>
      <c r="P289" s="58"/>
    </row>
    <row r="290" spans="1:16" x14ac:dyDescent="0.3">
      <c r="A290" s="19" t="s">
        <v>8</v>
      </c>
      <c r="B290" s="32">
        <v>40100</v>
      </c>
      <c r="C290" s="32">
        <v>40400</v>
      </c>
      <c r="D290" s="31">
        <v>73</v>
      </c>
      <c r="F290" s="86">
        <v>46314</v>
      </c>
      <c r="G290" s="33">
        <v>1176734.5</v>
      </c>
      <c r="H290" s="33">
        <v>1185538</v>
      </c>
      <c r="I290" s="33">
        <v>29.344999999999999</v>
      </c>
      <c r="P290" s="58"/>
    </row>
    <row r="291" spans="1:16" x14ac:dyDescent="0.3">
      <c r="F291" s="20"/>
    </row>
    <row r="292" spans="1:16" x14ac:dyDescent="0.3">
      <c r="F292" s="20"/>
    </row>
    <row r="293" spans="1:16" x14ac:dyDescent="0.3">
      <c r="F293" s="20"/>
    </row>
    <row r="294" spans="1:16" x14ac:dyDescent="0.3">
      <c r="F294" s="20"/>
    </row>
    <row r="295" spans="1:16" x14ac:dyDescent="0.3">
      <c r="F295" s="20"/>
    </row>
    <row r="296" spans="1:16" x14ac:dyDescent="0.3">
      <c r="F296" s="20"/>
    </row>
    <row r="297" spans="1:16" x14ac:dyDescent="0.3">
      <c r="F297" s="20"/>
    </row>
    <row r="298" spans="1:16" x14ac:dyDescent="0.3">
      <c r="F298" s="20"/>
    </row>
    <row r="299" spans="1:16" x14ac:dyDescent="0.3">
      <c r="F299" s="20"/>
    </row>
    <row r="300" spans="1:16" x14ac:dyDescent="0.3">
      <c r="F300" s="20"/>
    </row>
    <row r="301" spans="1:16" x14ac:dyDescent="0.3">
      <c r="F301" s="20"/>
    </row>
    <row r="302" spans="1:16" x14ac:dyDescent="0.3">
      <c r="F302" s="20"/>
    </row>
    <row r="303" spans="1:16" x14ac:dyDescent="0.3">
      <c r="F303" s="20"/>
    </row>
    <row r="304" spans="1:16" x14ac:dyDescent="0.3">
      <c r="F304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>
    <pageSetUpPr fitToPage="1"/>
  </sheetPr>
  <dimension ref="A1:AC3992"/>
  <sheetViews>
    <sheetView rightToLeft="1" showWhiteSpace="0" zoomScale="98" zoomScaleNormal="98" workbookViewId="0">
      <selection activeCell="A19" sqref="A19:L36"/>
    </sheetView>
  </sheetViews>
  <sheetFormatPr defaultRowHeight="14.4" x14ac:dyDescent="0.3"/>
  <cols>
    <col min="1" max="1" width="12" customWidth="1"/>
    <col min="2" max="2" width="13.77734375" customWidth="1"/>
    <col min="3" max="3" width="16" hidden="1" customWidth="1"/>
    <col min="4" max="4" width="18.44140625" customWidth="1"/>
    <col min="5" max="5" width="12.109375" hidden="1" customWidth="1"/>
    <col min="6" max="6" width="20.88671875" customWidth="1"/>
    <col min="7" max="7" width="16.5546875" customWidth="1"/>
    <col min="8" max="8" width="14.88671875" customWidth="1"/>
    <col min="9" max="9" width="14.33203125" customWidth="1"/>
    <col min="10" max="10" width="18.88671875" customWidth="1"/>
    <col min="11" max="11" width="17.6640625" customWidth="1"/>
    <col min="12" max="12" width="18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" customHeight="1" x14ac:dyDescent="0.3">
      <c r="A1" s="75" t="s">
        <v>88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28.8" customHeight="1" x14ac:dyDescent="0.3">
      <c r="A2" s="36" t="s">
        <v>147</v>
      </c>
      <c r="B2" s="77" t="s">
        <v>129</v>
      </c>
      <c r="C2" s="78"/>
      <c r="D2" s="37" t="s">
        <v>132</v>
      </c>
      <c r="E2" s="38" t="s">
        <v>124</v>
      </c>
      <c r="F2" s="43" t="s">
        <v>91</v>
      </c>
      <c r="G2" s="39" t="s">
        <v>3</v>
      </c>
      <c r="H2" s="40" t="s">
        <v>92</v>
      </c>
      <c r="I2" s="39" t="s">
        <v>93</v>
      </c>
      <c r="J2" s="40" t="s">
        <v>94</v>
      </c>
      <c r="K2" s="39" t="s">
        <v>93</v>
      </c>
      <c r="L2" s="41" t="s">
        <v>95</v>
      </c>
    </row>
    <row r="3" spans="1:12" ht="14.4" customHeight="1" x14ac:dyDescent="0.3">
      <c r="A3" s="60" t="s">
        <v>96</v>
      </c>
      <c r="B3" s="59"/>
      <c r="C3" s="60"/>
      <c r="D3" s="61">
        <v>466287036.41008782</v>
      </c>
      <c r="E3" s="62">
        <v>287724951.74780703</v>
      </c>
      <c r="F3" s="61"/>
      <c r="G3" s="61">
        <v>287724951.74780703</v>
      </c>
      <c r="H3" s="63">
        <v>224216244.42777777</v>
      </c>
      <c r="I3" s="61">
        <v>63508707.320029244</v>
      </c>
      <c r="J3" s="61">
        <v>30470351.435818713</v>
      </c>
      <c r="K3" s="59"/>
      <c r="L3" s="59"/>
    </row>
    <row r="4" spans="1:12" ht="17.399999999999999" customHeight="1" x14ac:dyDescent="0.3">
      <c r="A4" s="44" t="s">
        <v>89</v>
      </c>
      <c r="B4" s="52" t="s">
        <v>0</v>
      </c>
      <c r="C4" s="52" t="s">
        <v>87</v>
      </c>
      <c r="D4" s="52" t="s">
        <v>75</v>
      </c>
      <c r="E4" s="52" t="s">
        <v>90</v>
      </c>
      <c r="F4" s="52" t="s">
        <v>3</v>
      </c>
      <c r="G4" s="52" t="s">
        <v>76</v>
      </c>
      <c r="H4" s="52" t="s">
        <v>77</v>
      </c>
      <c r="I4" s="52" t="s">
        <v>78</v>
      </c>
      <c r="J4" s="53" t="s">
        <v>79</v>
      </c>
      <c r="K4" s="53" t="s">
        <v>80</v>
      </c>
      <c r="L4" s="52" t="s">
        <v>81</v>
      </c>
    </row>
    <row r="5" spans="1:12" ht="17.399999999999999" customHeight="1" x14ac:dyDescent="0.35">
      <c r="A5" s="65">
        <v>55</v>
      </c>
      <c r="B5" s="71" t="s">
        <v>99</v>
      </c>
      <c r="C5" s="56">
        <v>46301</v>
      </c>
      <c r="D5" s="55">
        <v>4791465</v>
      </c>
      <c r="E5" s="54" t="s">
        <v>83</v>
      </c>
      <c r="F5" s="56">
        <v>46301</v>
      </c>
      <c r="G5" s="55">
        <v>2395732.5</v>
      </c>
      <c r="H5" s="55">
        <v>2394932</v>
      </c>
      <c r="I5" s="55">
        <v>800.5</v>
      </c>
      <c r="J5" s="55">
        <v>800.5</v>
      </c>
      <c r="K5" s="57" t="s">
        <v>141</v>
      </c>
      <c r="L5" s="54" t="s">
        <v>107</v>
      </c>
    </row>
    <row r="6" spans="1:12" ht="17.399999999999999" customHeight="1" x14ac:dyDescent="0.35">
      <c r="A6" s="45">
        <v>60</v>
      </c>
      <c r="B6" s="72" t="s">
        <v>8</v>
      </c>
      <c r="C6" s="56">
        <v>46306</v>
      </c>
      <c r="D6" s="55">
        <v>26271786.315789472</v>
      </c>
      <c r="E6" s="54" t="s">
        <v>83</v>
      </c>
      <c r="F6" s="56">
        <v>46306</v>
      </c>
      <c r="G6" s="55">
        <v>26271786.315789472</v>
      </c>
      <c r="H6" s="55">
        <v>22405748</v>
      </c>
      <c r="I6" s="55">
        <v>3866038.3157894723</v>
      </c>
      <c r="J6" s="55">
        <v>3866038.3157894723</v>
      </c>
      <c r="K6" s="57" t="s">
        <v>142</v>
      </c>
      <c r="L6" s="54" t="s">
        <v>107</v>
      </c>
    </row>
    <row r="7" spans="1:12" ht="17.399999999999999" customHeight="1" x14ac:dyDescent="0.35">
      <c r="A7" s="45">
        <v>64</v>
      </c>
      <c r="B7" s="72" t="s">
        <v>8</v>
      </c>
      <c r="C7" s="56">
        <v>46309</v>
      </c>
      <c r="D7" s="55">
        <v>1238264.4078947369</v>
      </c>
      <c r="E7" s="54" t="s">
        <v>83</v>
      </c>
      <c r="F7" s="56">
        <v>46309</v>
      </c>
      <c r="G7" s="55">
        <v>495305.76315789478</v>
      </c>
      <c r="H7" s="55">
        <v>0</v>
      </c>
      <c r="I7" s="55">
        <v>495305.76315789478</v>
      </c>
      <c r="J7" s="55">
        <v>495305.76315789478</v>
      </c>
      <c r="K7" s="57" t="s">
        <v>143</v>
      </c>
      <c r="L7" s="54" t="s">
        <v>107</v>
      </c>
    </row>
    <row r="8" spans="1:12" ht="17.399999999999999" customHeight="1" x14ac:dyDescent="0.35">
      <c r="A8" s="45">
        <v>67</v>
      </c>
      <c r="B8" s="72" t="s">
        <v>8</v>
      </c>
      <c r="C8" s="56">
        <v>46309</v>
      </c>
      <c r="D8" s="55">
        <v>538140.19736842101</v>
      </c>
      <c r="E8" s="54" t="s">
        <v>83</v>
      </c>
      <c r="F8" s="56">
        <v>46309</v>
      </c>
      <c r="G8" s="55">
        <v>215256.07894736843</v>
      </c>
      <c r="H8" s="55">
        <v>0</v>
      </c>
      <c r="I8" s="55">
        <v>215256.07894736843</v>
      </c>
      <c r="J8" s="55">
        <v>215256.07894736843</v>
      </c>
      <c r="K8" s="57" t="s">
        <v>143</v>
      </c>
      <c r="L8" s="54" t="s">
        <v>107</v>
      </c>
    </row>
    <row r="9" spans="1:12" ht="17.399999999999999" customHeight="1" x14ac:dyDescent="0.35">
      <c r="A9" s="48">
        <v>68</v>
      </c>
      <c r="B9" s="74" t="s">
        <v>11</v>
      </c>
      <c r="C9" s="56">
        <v>46309</v>
      </c>
      <c r="D9" s="55">
        <v>1164066</v>
      </c>
      <c r="E9" s="54" t="s">
        <v>83</v>
      </c>
      <c r="F9" s="56">
        <v>46309</v>
      </c>
      <c r="G9" s="55">
        <v>1164066</v>
      </c>
      <c r="H9" s="55">
        <v>0</v>
      </c>
      <c r="I9" s="55">
        <v>1164066</v>
      </c>
      <c r="J9" s="55">
        <v>1164066</v>
      </c>
      <c r="K9" s="57" t="s">
        <v>143</v>
      </c>
      <c r="L9" s="54" t="s">
        <v>107</v>
      </c>
    </row>
    <row r="10" spans="1:12" ht="17.399999999999999" customHeight="1" x14ac:dyDescent="0.35">
      <c r="A10" s="45">
        <v>39</v>
      </c>
      <c r="B10" s="74" t="s">
        <v>38</v>
      </c>
      <c r="C10" s="56">
        <v>46250</v>
      </c>
      <c r="D10" s="55">
        <v>2017305</v>
      </c>
      <c r="E10" s="54" t="s">
        <v>82</v>
      </c>
      <c r="F10" s="56">
        <v>46310</v>
      </c>
      <c r="G10" s="55">
        <v>2017305</v>
      </c>
      <c r="H10" s="55">
        <v>2000000</v>
      </c>
      <c r="I10" s="55">
        <v>17305</v>
      </c>
      <c r="J10" s="55">
        <v>17305</v>
      </c>
      <c r="K10" s="57" t="s">
        <v>125</v>
      </c>
      <c r="L10" s="54" t="s">
        <v>107</v>
      </c>
    </row>
    <row r="11" spans="1:12" ht="17.399999999999999" customHeight="1" x14ac:dyDescent="0.35">
      <c r="A11" s="47">
        <v>69</v>
      </c>
      <c r="B11" s="72" t="s">
        <v>11</v>
      </c>
      <c r="C11" s="56">
        <v>46312</v>
      </c>
      <c r="D11" s="55">
        <v>1783434</v>
      </c>
      <c r="E11" s="54" t="s">
        <v>83</v>
      </c>
      <c r="F11" s="56">
        <v>46312</v>
      </c>
      <c r="G11" s="55">
        <v>1783434</v>
      </c>
      <c r="H11" s="55">
        <v>0</v>
      </c>
      <c r="I11" s="55">
        <v>1783434</v>
      </c>
      <c r="J11" s="55">
        <v>1783434</v>
      </c>
      <c r="K11" s="57" t="s">
        <v>144</v>
      </c>
      <c r="L11" s="54" t="s">
        <v>107</v>
      </c>
    </row>
    <row r="12" spans="1:12" ht="17.399999999999999" customHeight="1" x14ac:dyDescent="0.35">
      <c r="A12" s="47">
        <v>71</v>
      </c>
      <c r="B12" s="72" t="s">
        <v>11</v>
      </c>
      <c r="C12" s="56">
        <v>46313</v>
      </c>
      <c r="D12" s="55">
        <v>1156206</v>
      </c>
      <c r="E12" s="54" t="s">
        <v>83</v>
      </c>
      <c r="F12" s="56">
        <v>46313</v>
      </c>
      <c r="G12" s="55">
        <v>1156206</v>
      </c>
      <c r="H12" s="55">
        <v>0</v>
      </c>
      <c r="I12" s="55">
        <v>1156206</v>
      </c>
      <c r="J12" s="55">
        <v>1156206</v>
      </c>
      <c r="K12" s="57" t="s">
        <v>130</v>
      </c>
      <c r="L12" s="54" t="s">
        <v>107</v>
      </c>
    </row>
    <row r="13" spans="1:12" ht="17.399999999999999" customHeight="1" x14ac:dyDescent="0.35">
      <c r="A13" s="65">
        <v>72</v>
      </c>
      <c r="B13" s="71" t="s">
        <v>99</v>
      </c>
      <c r="C13" s="56">
        <v>46313</v>
      </c>
      <c r="D13" s="55">
        <v>3053830</v>
      </c>
      <c r="E13" s="54" t="s">
        <v>83</v>
      </c>
      <c r="F13" s="56">
        <v>46313</v>
      </c>
      <c r="G13" s="55">
        <v>1526915</v>
      </c>
      <c r="H13" s="55">
        <v>1500000</v>
      </c>
      <c r="I13" s="55">
        <v>26915</v>
      </c>
      <c r="J13" s="55">
        <v>26915</v>
      </c>
      <c r="K13" s="57" t="s">
        <v>130</v>
      </c>
      <c r="L13" s="54" t="s">
        <v>107</v>
      </c>
    </row>
    <row r="14" spans="1:12" ht="17.399999999999999" customHeight="1" x14ac:dyDescent="0.35">
      <c r="A14" s="45">
        <v>73</v>
      </c>
      <c r="B14" s="72" t="s">
        <v>8</v>
      </c>
      <c r="C14" s="56">
        <v>46314</v>
      </c>
      <c r="D14" s="55">
        <v>5926550.6491228072</v>
      </c>
      <c r="E14" s="54" t="s">
        <v>83</v>
      </c>
      <c r="F14" s="56">
        <v>46314</v>
      </c>
      <c r="G14" s="55">
        <v>2370620.2596491231</v>
      </c>
      <c r="H14" s="55">
        <v>0</v>
      </c>
      <c r="I14" s="55">
        <v>2370620.2596491231</v>
      </c>
      <c r="J14" s="55">
        <v>2370620.2596491231</v>
      </c>
      <c r="K14" s="57" t="s">
        <v>126</v>
      </c>
      <c r="L14" s="54" t="s">
        <v>107</v>
      </c>
    </row>
    <row r="15" spans="1:12" ht="17.399999999999999" customHeight="1" x14ac:dyDescent="0.35">
      <c r="A15" s="45" t="s">
        <v>30</v>
      </c>
      <c r="B15" s="72" t="s">
        <v>8</v>
      </c>
      <c r="C15" s="56">
        <v>46232</v>
      </c>
      <c r="D15" s="55">
        <v>7077431.6118421052</v>
      </c>
      <c r="E15" s="54" t="s">
        <v>86</v>
      </c>
      <c r="F15" s="56">
        <v>46315</v>
      </c>
      <c r="G15" s="55">
        <v>2359143.8706140351</v>
      </c>
      <c r="H15" s="55">
        <v>0</v>
      </c>
      <c r="I15" s="55">
        <v>2359143.8706140351</v>
      </c>
      <c r="J15" s="55">
        <v>2359143.8706140351</v>
      </c>
      <c r="K15" s="57" t="s">
        <v>123</v>
      </c>
      <c r="L15" s="54" t="s">
        <v>107</v>
      </c>
    </row>
    <row r="16" spans="1:12" ht="17.399999999999999" customHeight="1" x14ac:dyDescent="0.35">
      <c r="A16" s="48">
        <v>47</v>
      </c>
      <c r="B16" s="74" t="s">
        <v>11</v>
      </c>
      <c r="C16" s="56">
        <v>46284</v>
      </c>
      <c r="D16" s="55">
        <v>4577624</v>
      </c>
      <c r="E16" s="54" t="s">
        <v>82</v>
      </c>
      <c r="F16" s="56">
        <v>46315</v>
      </c>
      <c r="G16" s="55">
        <v>3433218</v>
      </c>
      <c r="H16" s="55">
        <v>0</v>
      </c>
      <c r="I16" s="55">
        <v>3433218</v>
      </c>
      <c r="J16" s="55">
        <v>3433218</v>
      </c>
      <c r="K16" s="57" t="s">
        <v>123</v>
      </c>
      <c r="L16" s="54" t="s">
        <v>107</v>
      </c>
    </row>
    <row r="17" spans="1:12" ht="17.399999999999999" customHeight="1" x14ac:dyDescent="0.35">
      <c r="A17" s="45">
        <v>31</v>
      </c>
      <c r="B17" s="72" t="s">
        <v>8</v>
      </c>
      <c r="C17" s="56">
        <v>46240</v>
      </c>
      <c r="D17" s="55">
        <v>20832933.25877193</v>
      </c>
      <c r="E17" s="54" t="s">
        <v>86</v>
      </c>
      <c r="F17" s="56">
        <v>46321</v>
      </c>
      <c r="G17" s="55">
        <v>6944311.0862573097</v>
      </c>
      <c r="H17" s="55">
        <v>0</v>
      </c>
      <c r="I17" s="55">
        <v>6944311.0862573097</v>
      </c>
      <c r="J17" s="55">
        <v>6944311.0862573097</v>
      </c>
      <c r="K17" s="57" t="s">
        <v>145</v>
      </c>
      <c r="L17" s="54" t="s">
        <v>107</v>
      </c>
    </row>
    <row r="18" spans="1:12" ht="17.399999999999999" customHeight="1" x14ac:dyDescent="0.35">
      <c r="A18" s="45">
        <v>37</v>
      </c>
      <c r="B18" s="72" t="s">
        <v>8</v>
      </c>
      <c r="C18" s="56">
        <v>46250</v>
      </c>
      <c r="D18" s="55">
        <v>8800606.5263157897</v>
      </c>
      <c r="E18" s="54" t="s">
        <v>86</v>
      </c>
      <c r="F18" s="56">
        <v>46321</v>
      </c>
      <c r="G18" s="55">
        <v>2933535.5087719299</v>
      </c>
      <c r="H18" s="55">
        <v>0</v>
      </c>
      <c r="I18" s="55">
        <v>2933535.5087719299</v>
      </c>
      <c r="J18" s="55">
        <v>2933535.5087719299</v>
      </c>
      <c r="K18" s="57" t="s">
        <v>145</v>
      </c>
      <c r="L18" s="54" t="s">
        <v>107</v>
      </c>
    </row>
    <row r="19" spans="1:12" ht="17.399999999999999" customHeight="1" x14ac:dyDescent="0.35">
      <c r="A19" s="45">
        <v>46</v>
      </c>
      <c r="B19" s="72" t="s">
        <v>8</v>
      </c>
      <c r="C19" s="56">
        <v>46281</v>
      </c>
      <c r="D19" s="55">
        <v>9846915.1578947362</v>
      </c>
      <c r="E19" s="54" t="s">
        <v>86</v>
      </c>
      <c r="F19" s="56">
        <v>46321</v>
      </c>
      <c r="G19" s="55">
        <v>3282305.0526315789</v>
      </c>
      <c r="H19" s="55">
        <v>0</v>
      </c>
      <c r="I19" s="55">
        <v>3282305.0526315789</v>
      </c>
      <c r="J19" s="55">
        <v>3282305.0526315789</v>
      </c>
      <c r="K19" s="57" t="s">
        <v>145</v>
      </c>
      <c r="L19" s="54" t="s">
        <v>107</v>
      </c>
    </row>
    <row r="20" spans="1:12" ht="17.399999999999999" customHeight="1" x14ac:dyDescent="0.35">
      <c r="A20" s="48">
        <v>51</v>
      </c>
      <c r="B20" s="74" t="s">
        <v>11</v>
      </c>
      <c r="C20" s="56">
        <v>46292</v>
      </c>
      <c r="D20" s="55">
        <v>4576040</v>
      </c>
      <c r="E20" s="54" t="s">
        <v>82</v>
      </c>
      <c r="F20" s="56">
        <v>46322</v>
      </c>
      <c r="G20" s="55">
        <v>2288020</v>
      </c>
      <c r="H20" s="55">
        <v>1866129</v>
      </c>
      <c r="I20" s="55">
        <v>421891</v>
      </c>
      <c r="J20" s="55">
        <v>421891</v>
      </c>
      <c r="K20" s="57" t="s">
        <v>131</v>
      </c>
      <c r="L20" s="54" t="s">
        <v>107</v>
      </c>
    </row>
    <row r="21" spans="1:12" ht="17.399999999999999" customHeight="1" x14ac:dyDescent="0.35">
      <c r="A21" s="45">
        <v>52</v>
      </c>
      <c r="B21" s="64" t="s">
        <v>99</v>
      </c>
      <c r="C21" s="67">
        <v>46297</v>
      </c>
      <c r="D21" s="68">
        <v>5384800</v>
      </c>
      <c r="E21" s="70" t="s">
        <v>82</v>
      </c>
      <c r="F21" s="67">
        <v>46327</v>
      </c>
      <c r="G21" s="68">
        <v>2599999.9999999991</v>
      </c>
      <c r="H21" s="68">
        <v>0</v>
      </c>
      <c r="I21" s="68">
        <v>2599999.9999999991</v>
      </c>
      <c r="J21" s="68">
        <v>0</v>
      </c>
      <c r="K21" s="69"/>
      <c r="L21" s="66" t="s">
        <v>146</v>
      </c>
    </row>
    <row r="22" spans="1:12" ht="17.399999999999999" customHeight="1" x14ac:dyDescent="0.35">
      <c r="A22" s="42">
        <v>55</v>
      </c>
      <c r="B22" s="73" t="s">
        <v>99</v>
      </c>
      <c r="C22" s="56">
        <v>46301</v>
      </c>
      <c r="D22" s="55">
        <v>4791465</v>
      </c>
      <c r="E22" s="54" t="s">
        <v>82</v>
      </c>
      <c r="F22" s="56">
        <v>46331</v>
      </c>
      <c r="G22" s="55">
        <v>2395732.5</v>
      </c>
      <c r="H22" s="55">
        <v>0</v>
      </c>
      <c r="I22" s="55">
        <v>2395732.5</v>
      </c>
      <c r="J22" s="55">
        <v>0</v>
      </c>
      <c r="K22" s="57"/>
      <c r="L22" s="54" t="s">
        <v>127</v>
      </c>
    </row>
    <row r="23" spans="1:12" ht="17.399999999999999" customHeight="1" x14ac:dyDescent="0.35">
      <c r="A23" s="48">
        <v>62</v>
      </c>
      <c r="B23" s="72" t="s">
        <v>11</v>
      </c>
      <c r="C23" s="56">
        <v>46307</v>
      </c>
      <c r="D23" s="55">
        <v>3795800</v>
      </c>
      <c r="E23" s="54" t="s">
        <v>82</v>
      </c>
      <c r="F23" s="56">
        <v>46337</v>
      </c>
      <c r="G23" s="55">
        <v>2846850</v>
      </c>
      <c r="H23" s="55">
        <v>0</v>
      </c>
      <c r="I23" s="55">
        <v>2846850</v>
      </c>
      <c r="J23" s="55">
        <v>0</v>
      </c>
      <c r="K23" s="57"/>
      <c r="L23" s="54" t="s">
        <v>85</v>
      </c>
    </row>
    <row r="24" spans="1:12" ht="17.399999999999999" customHeight="1" x14ac:dyDescent="0.35">
      <c r="A24" s="48">
        <v>63</v>
      </c>
      <c r="B24" s="73" t="s">
        <v>11</v>
      </c>
      <c r="C24" s="56">
        <v>46308</v>
      </c>
      <c r="D24" s="55">
        <v>7171484</v>
      </c>
      <c r="E24" s="54" t="s">
        <v>82</v>
      </c>
      <c r="F24" s="56">
        <v>46338</v>
      </c>
      <c r="G24" s="55">
        <v>5378613</v>
      </c>
      <c r="H24" s="55">
        <v>0</v>
      </c>
      <c r="I24" s="55">
        <v>5378613</v>
      </c>
      <c r="J24" s="55">
        <v>0</v>
      </c>
      <c r="K24" s="57"/>
      <c r="L24" s="54" t="s">
        <v>85</v>
      </c>
    </row>
    <row r="25" spans="1:12" ht="17.399999999999999" customHeight="1" x14ac:dyDescent="0.35">
      <c r="A25" s="48">
        <v>64</v>
      </c>
      <c r="B25" s="72" t="s">
        <v>8</v>
      </c>
      <c r="C25" s="56">
        <v>46309</v>
      </c>
      <c r="D25" s="55">
        <v>1238264.4078947369</v>
      </c>
      <c r="E25" s="54" t="s">
        <v>82</v>
      </c>
      <c r="F25" s="56">
        <v>46340</v>
      </c>
      <c r="G25" s="55">
        <v>371479.32236842107</v>
      </c>
      <c r="H25" s="55">
        <v>0</v>
      </c>
      <c r="I25" s="55">
        <v>371479.32236842107</v>
      </c>
      <c r="J25" s="55">
        <v>0</v>
      </c>
      <c r="K25" s="57"/>
      <c r="L25" s="54" t="s">
        <v>85</v>
      </c>
    </row>
    <row r="26" spans="1:12" ht="17.399999999999999" customHeight="1" x14ac:dyDescent="0.35">
      <c r="A26" s="48">
        <v>67</v>
      </c>
      <c r="B26" s="72" t="s">
        <v>8</v>
      </c>
      <c r="C26" s="56">
        <v>46309</v>
      </c>
      <c r="D26" s="55">
        <v>538140.19736842101</v>
      </c>
      <c r="E26" s="54" t="s">
        <v>82</v>
      </c>
      <c r="F26" s="56">
        <v>46340</v>
      </c>
      <c r="G26" s="55">
        <v>161442.05921052629</v>
      </c>
      <c r="H26" s="55">
        <v>0</v>
      </c>
      <c r="I26" s="55">
        <v>161442.05921052629</v>
      </c>
      <c r="J26" s="55">
        <v>0</v>
      </c>
      <c r="K26" s="57"/>
      <c r="L26" s="54" t="s">
        <v>85</v>
      </c>
    </row>
    <row r="27" spans="1:12" ht="17.399999999999999" customHeight="1" x14ac:dyDescent="0.35">
      <c r="A27" s="48">
        <v>72</v>
      </c>
      <c r="B27" s="71" t="s">
        <v>99</v>
      </c>
      <c r="C27" s="56">
        <v>46313</v>
      </c>
      <c r="D27" s="55">
        <v>3053830</v>
      </c>
      <c r="E27" s="54" t="s">
        <v>82</v>
      </c>
      <c r="F27" s="56">
        <v>46344</v>
      </c>
      <c r="G27" s="55">
        <v>1526915</v>
      </c>
      <c r="H27" s="55">
        <v>0</v>
      </c>
      <c r="I27" s="55">
        <v>1526915</v>
      </c>
      <c r="J27" s="55">
        <v>0</v>
      </c>
      <c r="K27" s="57"/>
      <c r="L27" s="54" t="s">
        <v>85</v>
      </c>
    </row>
    <row r="28" spans="1:12" ht="17.399999999999999" customHeight="1" x14ac:dyDescent="0.35">
      <c r="A28" s="48">
        <v>73</v>
      </c>
      <c r="B28" s="72" t="s">
        <v>8</v>
      </c>
      <c r="C28" s="56">
        <v>46314</v>
      </c>
      <c r="D28" s="55">
        <v>5926550.6491228072</v>
      </c>
      <c r="E28" s="54" t="s">
        <v>82</v>
      </c>
      <c r="F28" s="56">
        <v>46345</v>
      </c>
      <c r="G28" s="55">
        <v>1777965.1947368421</v>
      </c>
      <c r="H28" s="55">
        <v>0</v>
      </c>
      <c r="I28" s="55">
        <v>1777965.1947368421</v>
      </c>
      <c r="J28" s="55">
        <v>0</v>
      </c>
      <c r="K28" s="57"/>
      <c r="L28" s="54" t="s">
        <v>85</v>
      </c>
    </row>
    <row r="29" spans="1:12" ht="17.399999999999999" customHeight="1" x14ac:dyDescent="0.35">
      <c r="A29" s="48">
        <v>49</v>
      </c>
      <c r="B29" s="70" t="s">
        <v>38</v>
      </c>
      <c r="C29" s="56">
        <v>46286</v>
      </c>
      <c r="D29" s="55">
        <v>1923110</v>
      </c>
      <c r="E29" s="54" t="s">
        <v>82</v>
      </c>
      <c r="F29" s="56">
        <v>46346</v>
      </c>
      <c r="G29" s="55">
        <v>1923110</v>
      </c>
      <c r="H29" s="55">
        <v>0</v>
      </c>
      <c r="I29" s="55">
        <v>1923110</v>
      </c>
      <c r="J29" s="55">
        <v>0</v>
      </c>
      <c r="K29" s="57"/>
      <c r="L29" s="54" t="s">
        <v>85</v>
      </c>
    </row>
    <row r="30" spans="1:12" ht="17.399999999999999" customHeight="1" x14ac:dyDescent="0.35">
      <c r="A30" s="48">
        <v>57</v>
      </c>
      <c r="B30" s="72" t="s">
        <v>8</v>
      </c>
      <c r="C30" s="56">
        <v>46304</v>
      </c>
      <c r="D30" s="55">
        <v>12289987.052631579</v>
      </c>
      <c r="E30" s="54" t="s">
        <v>82</v>
      </c>
      <c r="F30" s="56">
        <v>46349</v>
      </c>
      <c r="G30" s="55">
        <v>3686996.1157894735</v>
      </c>
      <c r="H30" s="55">
        <v>0</v>
      </c>
      <c r="I30" s="55">
        <v>3686996.1157894735</v>
      </c>
      <c r="J30" s="55">
        <v>0</v>
      </c>
      <c r="K30" s="57"/>
      <c r="L30" s="54" t="s">
        <v>85</v>
      </c>
    </row>
    <row r="31" spans="1:12" ht="17.399999999999999" customHeight="1" x14ac:dyDescent="0.35">
      <c r="A31" s="48">
        <v>51</v>
      </c>
      <c r="B31" s="71" t="s">
        <v>11</v>
      </c>
      <c r="C31" s="56">
        <v>46292</v>
      </c>
      <c r="D31" s="55">
        <v>4576040</v>
      </c>
      <c r="E31" s="54" t="s">
        <v>84</v>
      </c>
      <c r="F31" s="56">
        <v>46353</v>
      </c>
      <c r="G31" s="55">
        <v>2288020</v>
      </c>
      <c r="H31" s="55">
        <v>0</v>
      </c>
      <c r="I31" s="55">
        <v>2288020</v>
      </c>
      <c r="J31" s="55">
        <v>0</v>
      </c>
      <c r="K31" s="57"/>
      <c r="L31" s="54" t="s">
        <v>85</v>
      </c>
    </row>
    <row r="32" spans="1:12" ht="17.399999999999999" customHeight="1" x14ac:dyDescent="0.35">
      <c r="A32" s="45">
        <v>64</v>
      </c>
      <c r="B32" s="72" t="s">
        <v>8</v>
      </c>
      <c r="C32" s="56">
        <v>46309</v>
      </c>
      <c r="D32" s="55">
        <v>1238264.4078947369</v>
      </c>
      <c r="E32" s="54" t="s">
        <v>84</v>
      </c>
      <c r="F32" s="56">
        <v>46370</v>
      </c>
      <c r="G32" s="55">
        <v>371479.32236842107</v>
      </c>
      <c r="H32" s="55">
        <v>0</v>
      </c>
      <c r="I32" s="55">
        <v>371479.32236842107</v>
      </c>
      <c r="J32" s="55">
        <v>0</v>
      </c>
      <c r="K32" s="57"/>
      <c r="L32" s="54" t="s">
        <v>85</v>
      </c>
    </row>
    <row r="33" spans="1:12" ht="17.399999999999999" customHeight="1" x14ac:dyDescent="0.35">
      <c r="A33" s="45">
        <v>67</v>
      </c>
      <c r="B33" s="72" t="s">
        <v>8</v>
      </c>
      <c r="C33" s="56">
        <v>46309</v>
      </c>
      <c r="D33" s="55">
        <v>538140.19736842101</v>
      </c>
      <c r="E33" s="54" t="s">
        <v>84</v>
      </c>
      <c r="F33" s="56">
        <v>46370</v>
      </c>
      <c r="G33" s="55">
        <v>161442.05921052629</v>
      </c>
      <c r="H33" s="55">
        <v>0</v>
      </c>
      <c r="I33" s="55">
        <v>161442.05921052629</v>
      </c>
      <c r="J33" s="55">
        <v>0</v>
      </c>
      <c r="K33" s="57"/>
      <c r="L33" s="54" t="s">
        <v>85</v>
      </c>
    </row>
    <row r="34" spans="1:12" ht="17.399999999999999" customHeight="1" x14ac:dyDescent="0.35">
      <c r="A34" s="42">
        <v>70</v>
      </c>
      <c r="B34" s="70" t="s">
        <v>100</v>
      </c>
      <c r="C34" s="56">
        <v>46310</v>
      </c>
      <c r="D34" s="55">
        <v>2083350</v>
      </c>
      <c r="E34" s="54" t="s">
        <v>82</v>
      </c>
      <c r="F34" s="56">
        <v>46370</v>
      </c>
      <c r="G34" s="55">
        <v>2083350</v>
      </c>
      <c r="H34" s="55">
        <v>0</v>
      </c>
      <c r="I34" s="55">
        <v>2083350</v>
      </c>
      <c r="J34" s="55">
        <v>0</v>
      </c>
      <c r="K34" s="57"/>
      <c r="L34" s="54" t="s">
        <v>85</v>
      </c>
    </row>
    <row r="35" spans="1:12" ht="17.399999999999999" customHeight="1" x14ac:dyDescent="0.35">
      <c r="A35" s="45">
        <v>73</v>
      </c>
      <c r="B35" s="72" t="s">
        <v>8</v>
      </c>
      <c r="C35" s="56">
        <v>46314</v>
      </c>
      <c r="D35" s="55">
        <v>5926550.6491228072</v>
      </c>
      <c r="E35" s="54" t="s">
        <v>84</v>
      </c>
      <c r="F35" s="56">
        <v>46375</v>
      </c>
      <c r="G35" s="55">
        <v>1777965.1947368421</v>
      </c>
      <c r="H35" s="55">
        <v>0</v>
      </c>
      <c r="I35" s="55">
        <v>1777965.1947368421</v>
      </c>
      <c r="J35" s="55">
        <v>0</v>
      </c>
      <c r="K35" s="57"/>
      <c r="L35" s="54" t="s">
        <v>85</v>
      </c>
    </row>
    <row r="36" spans="1:12" ht="17.399999999999999" customHeight="1" x14ac:dyDescent="0.35">
      <c r="A36" s="45">
        <v>57</v>
      </c>
      <c r="B36" s="72" t="s">
        <v>8</v>
      </c>
      <c r="C36" s="56">
        <v>46304</v>
      </c>
      <c r="D36" s="55">
        <v>12289987.052631579</v>
      </c>
      <c r="E36" s="54" t="s">
        <v>84</v>
      </c>
      <c r="F36" s="56">
        <v>46379</v>
      </c>
      <c r="G36" s="55">
        <v>3686996.1157894735</v>
      </c>
      <c r="H36" s="55">
        <v>0</v>
      </c>
      <c r="I36" s="55">
        <v>3686996.1157894735</v>
      </c>
      <c r="J36" s="55">
        <v>0</v>
      </c>
      <c r="K36" s="57"/>
      <c r="L36" s="54" t="s">
        <v>85</v>
      </c>
    </row>
    <row r="37" spans="1:12" ht="17.399999999999999" customHeight="1" x14ac:dyDescent="0.3"/>
    <row r="38" spans="1:12" ht="17.399999999999999" customHeight="1" x14ac:dyDescent="0.3"/>
    <row r="39" spans="1:12" ht="17.399999999999999" customHeight="1" x14ac:dyDescent="0.3"/>
    <row r="40" spans="1:12" ht="14.4" customHeight="1" x14ac:dyDescent="0.3"/>
    <row r="41" spans="1:12" ht="14.4" customHeight="1" x14ac:dyDescent="0.3"/>
    <row r="42" spans="1:12" ht="14.4" customHeight="1" x14ac:dyDescent="0.3"/>
    <row r="43" spans="1:12" ht="14.4" customHeight="1" x14ac:dyDescent="0.3"/>
    <row r="44" spans="1:12" ht="14.4" customHeight="1" x14ac:dyDescent="0.3"/>
    <row r="45" spans="1:12" ht="14.4" customHeight="1" x14ac:dyDescent="0.3"/>
    <row r="46" spans="1:12" ht="14.4" customHeight="1" x14ac:dyDescent="0.3"/>
    <row r="47" spans="1:12" ht="14.4" customHeight="1" x14ac:dyDescent="0.3"/>
    <row r="48" spans="1:12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38" priority="37" operator="containsText" text="✓">
      <formula>NOT(ISERROR(SEARCH("✓",F2)))</formula>
    </cfRule>
  </conditionalFormatting>
  <conditionalFormatting sqref="F2">
    <cfRule type="containsText" dxfId="37" priority="38" operator="containsText" text="✗">
      <formula>NOT(ISERROR(SEARCH("✗",F2)))</formula>
    </cfRule>
  </conditionalFormatting>
  <conditionalFormatting sqref="L5">
    <cfRule type="containsText" dxfId="36" priority="31" operator="containsText" text="مسدّد">
      <formula>NOT(ISERROR(SEARCH("مسدّد",L5)))</formula>
    </cfRule>
  </conditionalFormatting>
  <conditionalFormatting sqref="L5">
    <cfRule type="containsText" dxfId="35" priority="32" operator="containsText" text="مستحق">
      <formula>NOT(ISERROR(SEARCH("مستحق",L5)))</formula>
    </cfRule>
  </conditionalFormatting>
  <conditionalFormatting sqref="L5">
    <cfRule type="containsText" dxfId="34" priority="33" operator="containsText" text="قريب">
      <formula>NOT(ISERROR(SEARCH("قريب",L5)))</formula>
    </cfRule>
  </conditionalFormatting>
  <conditionalFormatting sqref="L5">
    <cfRule type="containsText" dxfId="33" priority="34" operator="containsText" text="جار">
      <formula>NOT(ISERROR(SEARCH("جار",L5)))</formula>
    </cfRule>
  </conditionalFormatting>
  <conditionalFormatting sqref="L5">
    <cfRule type="containsText" dxfId="32" priority="35" operator="containsText" text="بدون">
      <formula>NOT(ISERROR(SEARCH("بدون",L5)))</formula>
    </cfRule>
  </conditionalFormatting>
  <conditionalFormatting sqref="J5">
    <cfRule type="cellIs" dxfId="31" priority="36" operator="greaterThan">
      <formula>0</formula>
    </cfRule>
  </conditionalFormatting>
  <conditionalFormatting sqref="L6">
    <cfRule type="containsText" dxfId="30" priority="25" operator="containsText" text="مسدّد">
      <formula>NOT(ISERROR(SEARCH("مسدّد",L6)))</formula>
    </cfRule>
  </conditionalFormatting>
  <conditionalFormatting sqref="L6">
    <cfRule type="containsText" dxfId="29" priority="26" operator="containsText" text="مستحق">
      <formula>NOT(ISERROR(SEARCH("مستحق",L6)))</formula>
    </cfRule>
  </conditionalFormatting>
  <conditionalFormatting sqref="L6">
    <cfRule type="containsText" dxfId="28" priority="27" operator="containsText" text="قريب">
      <formula>NOT(ISERROR(SEARCH("قريب",L6)))</formula>
    </cfRule>
  </conditionalFormatting>
  <conditionalFormatting sqref="L6">
    <cfRule type="containsText" dxfId="27" priority="28" operator="containsText" text="جار">
      <formula>NOT(ISERROR(SEARCH("جار",L6)))</formula>
    </cfRule>
  </conditionalFormatting>
  <conditionalFormatting sqref="L6">
    <cfRule type="containsText" dxfId="26" priority="29" operator="containsText" text="بدون">
      <formula>NOT(ISERROR(SEARCH("بدون",L6)))</formula>
    </cfRule>
  </conditionalFormatting>
  <conditionalFormatting sqref="J6">
    <cfRule type="cellIs" dxfId="25" priority="30" operator="greaterThan">
      <formula>0</formula>
    </cfRule>
  </conditionalFormatting>
  <conditionalFormatting sqref="L7:L10">
    <cfRule type="containsText" dxfId="24" priority="19" operator="containsText" text="مسدّد">
      <formula>NOT(ISERROR(SEARCH("مسدّد",L7)))</formula>
    </cfRule>
  </conditionalFormatting>
  <conditionalFormatting sqref="L7:L10">
    <cfRule type="containsText" dxfId="23" priority="20" operator="containsText" text="مستحق">
      <formula>NOT(ISERROR(SEARCH("مستحق",L7)))</formula>
    </cfRule>
  </conditionalFormatting>
  <conditionalFormatting sqref="L7:L10">
    <cfRule type="containsText" dxfId="22" priority="21" operator="containsText" text="قريب">
      <formula>NOT(ISERROR(SEARCH("قريب",L7)))</formula>
    </cfRule>
  </conditionalFormatting>
  <conditionalFormatting sqref="L7:L10">
    <cfRule type="containsText" dxfId="21" priority="22" operator="containsText" text="جار">
      <formula>NOT(ISERROR(SEARCH("جار",L7)))</formula>
    </cfRule>
  </conditionalFormatting>
  <conditionalFormatting sqref="L7:L10">
    <cfRule type="containsText" dxfId="20" priority="23" operator="containsText" text="بدون">
      <formula>NOT(ISERROR(SEARCH("بدون",L7)))</formula>
    </cfRule>
  </conditionalFormatting>
  <conditionalFormatting sqref="J7:J10">
    <cfRule type="cellIs" dxfId="19" priority="24" operator="greaterThan">
      <formula>0</formula>
    </cfRule>
  </conditionalFormatting>
  <conditionalFormatting sqref="L11:L16">
    <cfRule type="containsText" dxfId="18" priority="13" operator="containsText" text="مسدّد">
      <formula>NOT(ISERROR(SEARCH("مسدّد",L11)))</formula>
    </cfRule>
  </conditionalFormatting>
  <conditionalFormatting sqref="L11:L16">
    <cfRule type="containsText" dxfId="17" priority="14" operator="containsText" text="مستحق">
      <formula>NOT(ISERROR(SEARCH("مستحق",L11)))</formula>
    </cfRule>
  </conditionalFormatting>
  <conditionalFormatting sqref="L11:L16">
    <cfRule type="containsText" dxfId="16" priority="15" operator="containsText" text="قريب">
      <formula>NOT(ISERROR(SEARCH("قريب",L11)))</formula>
    </cfRule>
  </conditionalFormatting>
  <conditionalFormatting sqref="L11:L16">
    <cfRule type="containsText" dxfId="15" priority="16" operator="containsText" text="جار">
      <formula>NOT(ISERROR(SEARCH("جار",L11)))</formula>
    </cfRule>
  </conditionalFormatting>
  <conditionalFormatting sqref="L11:L16">
    <cfRule type="containsText" dxfId="14" priority="17" operator="containsText" text="بدون">
      <formula>NOT(ISERROR(SEARCH("بدون",L11)))</formula>
    </cfRule>
  </conditionalFormatting>
  <conditionalFormatting sqref="J11:J16">
    <cfRule type="cellIs" dxfId="13" priority="18" operator="greaterThan">
      <formula>0</formula>
    </cfRule>
  </conditionalFormatting>
  <conditionalFormatting sqref="L17:L18">
    <cfRule type="containsText" dxfId="12" priority="7" operator="containsText" text="مسدّد">
      <formula>NOT(ISERROR(SEARCH("مسدّد",L17)))</formula>
    </cfRule>
  </conditionalFormatting>
  <conditionalFormatting sqref="L17:L18">
    <cfRule type="containsText" dxfId="11" priority="8" operator="containsText" text="مستحق">
      <formula>NOT(ISERROR(SEARCH("مستحق",L17)))</formula>
    </cfRule>
  </conditionalFormatting>
  <conditionalFormatting sqref="L17:L18">
    <cfRule type="containsText" dxfId="10" priority="9" operator="containsText" text="قريب">
      <formula>NOT(ISERROR(SEARCH("قريب",L17)))</formula>
    </cfRule>
  </conditionalFormatting>
  <conditionalFormatting sqref="L17:L18">
    <cfRule type="containsText" dxfId="9" priority="10" operator="containsText" text="جار">
      <formula>NOT(ISERROR(SEARCH("جار",L17)))</formula>
    </cfRule>
  </conditionalFormatting>
  <conditionalFormatting sqref="L17:L18">
    <cfRule type="containsText" dxfId="8" priority="11" operator="containsText" text="بدون">
      <formula>NOT(ISERROR(SEARCH("بدون",L17)))</formula>
    </cfRule>
  </conditionalFormatting>
  <conditionalFormatting sqref="J17:J18">
    <cfRule type="cellIs" dxfId="7" priority="12" operator="greaterThan">
      <formula>0</formula>
    </cfRule>
  </conditionalFormatting>
  <conditionalFormatting sqref="L19:L36">
    <cfRule type="containsText" dxfId="6" priority="1" operator="containsText" text="مسدّد">
      <formula>NOT(ISERROR(SEARCH("مسدّد",L19)))</formula>
    </cfRule>
  </conditionalFormatting>
  <conditionalFormatting sqref="L19:L36">
    <cfRule type="containsText" dxfId="5" priority="2" operator="containsText" text="مستحق">
      <formula>NOT(ISERROR(SEARCH("مستحق",L19)))</formula>
    </cfRule>
  </conditionalFormatting>
  <conditionalFormatting sqref="L19:L36">
    <cfRule type="containsText" dxfId="4" priority="3" operator="containsText" text="قريب">
      <formula>NOT(ISERROR(SEARCH("قريب",L19)))</formula>
    </cfRule>
  </conditionalFormatting>
  <conditionalFormatting sqref="L19:L36">
    <cfRule type="containsText" dxfId="3" priority="4" operator="containsText" text="جار">
      <formula>NOT(ISERROR(SEARCH("جار",L19)))</formula>
    </cfRule>
  </conditionalFormatting>
  <conditionalFormatting sqref="L19:L36">
    <cfRule type="containsText" dxfId="2" priority="5" operator="containsText" text="بدون">
      <formula>NOT(ISERROR(SEARCH("بدون",L19)))</formula>
    </cfRule>
  </conditionalFormatting>
  <conditionalFormatting sqref="J19:J36">
    <cfRule type="cellIs" dxfId="1" priority="6" operator="greaterThan">
      <formula>0</formula>
    </cfRule>
  </conditionalFormatting>
  <pageMargins left="0.7" right="0.7" top="0.75" bottom="0.75" header="0.3" footer="0.3"/>
  <pageSetup paperSize="9" scale="9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3" sqref="B1:B1048576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7.88671875" bestFit="1" customWidth="1"/>
  </cols>
  <sheetData>
    <row r="1" spans="1:11" ht="18" x14ac:dyDescent="0.35">
      <c r="A1" s="79" t="s">
        <v>40</v>
      </c>
      <c r="B1" s="80"/>
      <c r="C1" s="80"/>
      <c r="I1" s="83" t="s">
        <v>41</v>
      </c>
      <c r="J1" s="84"/>
      <c r="K1" s="84"/>
    </row>
    <row r="2" spans="1:11" ht="15.6" x14ac:dyDescent="0.3">
      <c r="A2" s="2" t="s">
        <v>42</v>
      </c>
      <c r="B2" s="81">
        <f>SUM(B4:B3000)-SUM(C4:C3000)</f>
        <v>63337950.297807068</v>
      </c>
      <c r="C2" s="82"/>
      <c r="I2" s="3" t="s">
        <v>42</v>
      </c>
      <c r="J2" s="81">
        <f>SUM(J4:J3000)-SUM(K4:K3000)</f>
        <v>-70668271</v>
      </c>
      <c r="K2" s="82"/>
    </row>
    <row r="3" spans="1:11" ht="18" customHeight="1" x14ac:dyDescent="0.35">
      <c r="A3" s="4" t="s">
        <v>16</v>
      </c>
      <c r="B3" s="5" t="s">
        <v>43</v>
      </c>
      <c r="C3" s="5" t="s">
        <v>44</v>
      </c>
      <c r="I3" s="4" t="s">
        <v>45</v>
      </c>
      <c r="J3" s="5" t="s">
        <v>43</v>
      </c>
      <c r="K3" s="5" t="s">
        <v>44</v>
      </c>
    </row>
    <row r="4" spans="1:11" ht="18" customHeight="1" x14ac:dyDescent="0.35">
      <c r="A4" s="6" t="s">
        <v>13</v>
      </c>
      <c r="B4" s="7">
        <v>0.5635087750852108</v>
      </c>
      <c r="C4" s="7">
        <v>0</v>
      </c>
      <c r="I4" s="6" t="s">
        <v>46</v>
      </c>
      <c r="J4" s="7">
        <v>0</v>
      </c>
      <c r="K4" s="7">
        <v>70668271</v>
      </c>
    </row>
    <row r="5" spans="1:11" ht="18" customHeight="1" x14ac:dyDescent="0.35">
      <c r="A5" s="6" t="s">
        <v>15</v>
      </c>
      <c r="B5" s="7">
        <v>0</v>
      </c>
      <c r="C5" s="7">
        <v>135737.48719297908</v>
      </c>
    </row>
    <row r="6" spans="1:11" ht="18" customHeight="1" x14ac:dyDescent="0.35">
      <c r="A6" s="6" t="s">
        <v>8</v>
      </c>
      <c r="B6" s="7">
        <v>34462280.282894775</v>
      </c>
      <c r="C6" s="7">
        <v>0</v>
      </c>
    </row>
    <row r="7" spans="1:11" ht="18" customHeight="1" x14ac:dyDescent="0.35">
      <c r="A7" s="6" t="s">
        <v>11</v>
      </c>
      <c r="B7" s="7">
        <v>18472298</v>
      </c>
      <c r="C7" s="7">
        <v>0</v>
      </c>
    </row>
    <row r="8" spans="1:11" ht="18" customHeight="1" x14ac:dyDescent="0.35">
      <c r="A8" s="6" t="s">
        <v>38</v>
      </c>
      <c r="B8" s="7">
        <v>1940415.0000000005</v>
      </c>
      <c r="C8" s="7">
        <v>0</v>
      </c>
    </row>
    <row r="9" spans="1:11" ht="18" customHeight="1" x14ac:dyDescent="0.35">
      <c r="A9" s="6" t="s">
        <v>32</v>
      </c>
      <c r="B9" s="7">
        <v>0</v>
      </c>
      <c r="C9" s="7">
        <v>35015.061403508531</v>
      </c>
    </row>
    <row r="10" spans="1:11" ht="18" customHeight="1" x14ac:dyDescent="0.35">
      <c r="A10" s="6" t="s">
        <v>22</v>
      </c>
      <c r="B10" s="7">
        <v>0</v>
      </c>
      <c r="C10" s="7">
        <v>4</v>
      </c>
    </row>
    <row r="11" spans="1:11" ht="18" customHeight="1" x14ac:dyDescent="0.35">
      <c r="A11" s="6" t="s">
        <v>99</v>
      </c>
      <c r="B11" s="7">
        <v>6550363</v>
      </c>
      <c r="C11" s="7">
        <v>0</v>
      </c>
    </row>
    <row r="12" spans="1:11" ht="18" customHeight="1" x14ac:dyDescent="0.35">
      <c r="A12" s="6" t="s">
        <v>100</v>
      </c>
      <c r="B12" s="7">
        <v>2083350.0000000005</v>
      </c>
      <c r="C12" s="7">
        <v>0</v>
      </c>
    </row>
    <row r="13" spans="1:11" ht="18" x14ac:dyDescent="0.35">
      <c r="A13" s="6"/>
      <c r="B13" s="7"/>
      <c r="C13" s="7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47</v>
      </c>
      <c r="B1" s="10" t="s">
        <v>48</v>
      </c>
      <c r="C1" s="10" t="s">
        <v>49</v>
      </c>
      <c r="D1" s="10" t="s">
        <v>50</v>
      </c>
      <c r="E1" s="10" t="s">
        <v>51</v>
      </c>
      <c r="F1" s="10" t="s">
        <v>52</v>
      </c>
      <c r="G1" s="11" t="s">
        <v>53</v>
      </c>
      <c r="H1" s="11" t="s">
        <v>54</v>
      </c>
      <c r="I1" s="11" t="s">
        <v>55</v>
      </c>
      <c r="J1" s="12" t="s">
        <v>56</v>
      </c>
      <c r="K1" s="10" t="s">
        <v>57</v>
      </c>
      <c r="L1" s="10" t="s">
        <v>58</v>
      </c>
    </row>
    <row r="2" spans="1:12" ht="15" customHeight="1" thickBot="1" x14ac:dyDescent="0.35">
      <c r="A2" s="13" t="s">
        <v>59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60</v>
      </c>
      <c r="L2" s="15">
        <v>2026</v>
      </c>
    </row>
    <row r="3" spans="1:12" ht="15" customHeight="1" thickBot="1" x14ac:dyDescent="0.35">
      <c r="A3" s="13" t="s">
        <v>61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60</v>
      </c>
      <c r="L3" s="15">
        <v>2026</v>
      </c>
    </row>
    <row r="4" spans="1:12" ht="15" customHeight="1" thickBot="1" x14ac:dyDescent="0.35">
      <c r="A4" s="13" t="s">
        <v>62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60</v>
      </c>
      <c r="L4" s="15">
        <v>2026</v>
      </c>
    </row>
    <row r="5" spans="1:12" ht="15" customHeight="1" thickBot="1" x14ac:dyDescent="0.35">
      <c r="A5" s="13" t="s">
        <v>63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60</v>
      </c>
      <c r="L5" s="15">
        <v>2026</v>
      </c>
    </row>
    <row r="6" spans="1:12" ht="15" customHeight="1" thickBot="1" x14ac:dyDescent="0.35">
      <c r="A6" s="13" t="s">
        <v>64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60</v>
      </c>
      <c r="L6" s="15">
        <v>2026</v>
      </c>
    </row>
    <row r="7" spans="1:12" ht="15" customHeight="1" thickBot="1" x14ac:dyDescent="0.35">
      <c r="A7" s="13" t="s">
        <v>65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60</v>
      </c>
      <c r="L7" s="15">
        <v>2026</v>
      </c>
    </row>
    <row r="8" spans="1:12" ht="15" customHeight="1" thickBot="1" x14ac:dyDescent="0.35">
      <c r="A8" s="13" t="s">
        <v>66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60</v>
      </c>
      <c r="L8" s="15">
        <v>2026</v>
      </c>
    </row>
    <row r="9" spans="1:12" ht="15" customHeight="1" thickBot="1" x14ac:dyDescent="0.35">
      <c r="A9" s="13" t="s">
        <v>67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68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tabSelected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85" t="s">
        <v>69</v>
      </c>
      <c r="B1" s="85"/>
      <c r="C1" s="85"/>
      <c r="D1" s="85"/>
    </row>
    <row r="2" spans="1:4" x14ac:dyDescent="0.3">
      <c r="A2" s="21" t="s">
        <v>70</v>
      </c>
      <c r="B2" s="22">
        <v>16</v>
      </c>
      <c r="C2" s="23">
        <v>30470351.435818713</v>
      </c>
      <c r="D2" s="24">
        <v>10.8125</v>
      </c>
    </row>
    <row r="3" spans="1:4" x14ac:dyDescent="0.3">
      <c r="A3" s="25" t="s">
        <v>0</v>
      </c>
      <c r="B3" s="25" t="s">
        <v>71</v>
      </c>
      <c r="C3" s="25" t="s">
        <v>72</v>
      </c>
      <c r="D3" s="25" t="s">
        <v>73</v>
      </c>
    </row>
    <row r="4" spans="1:4" x14ac:dyDescent="0.3">
      <c r="A4" s="46" t="s">
        <v>99</v>
      </c>
      <c r="B4" s="26">
        <v>2</v>
      </c>
      <c r="C4" s="27">
        <v>27715.5</v>
      </c>
      <c r="D4" s="28">
        <v>17</v>
      </c>
    </row>
    <row r="5" spans="1:4" x14ac:dyDescent="0.3">
      <c r="A5" s="29" t="s">
        <v>38</v>
      </c>
      <c r="B5" s="26">
        <v>1</v>
      </c>
      <c r="C5" s="27">
        <v>17305</v>
      </c>
      <c r="D5" s="28">
        <v>14</v>
      </c>
    </row>
    <row r="6" spans="1:4" x14ac:dyDescent="0.3">
      <c r="A6" s="29" t="s">
        <v>8</v>
      </c>
      <c r="B6" s="26">
        <v>8</v>
      </c>
      <c r="C6" s="27">
        <v>22466515.935818713</v>
      </c>
      <c r="D6" s="28">
        <v>9.5</v>
      </c>
    </row>
    <row r="7" spans="1:4" x14ac:dyDescent="0.3">
      <c r="A7" s="29" t="s">
        <v>11</v>
      </c>
      <c r="B7" s="26">
        <v>5</v>
      </c>
      <c r="C7" s="27">
        <v>7958815</v>
      </c>
      <c r="D7" s="28">
        <v>9.8000000000029104</v>
      </c>
    </row>
    <row r="8" spans="1:4" x14ac:dyDescent="0.3">
      <c r="A8" s="29"/>
      <c r="B8" s="26" t="s">
        <v>74</v>
      </c>
      <c r="C8" s="27" t="s">
        <v>74</v>
      </c>
      <c r="D8" s="28" t="s">
        <v>74</v>
      </c>
    </row>
    <row r="9" spans="1:4" x14ac:dyDescent="0.3">
      <c r="A9" s="29"/>
      <c r="B9" s="26" t="s">
        <v>74</v>
      </c>
      <c r="C9" s="27" t="s">
        <v>74</v>
      </c>
      <c r="D9" s="28" t="s">
        <v>74</v>
      </c>
    </row>
    <row r="10" spans="1:4" x14ac:dyDescent="0.3">
      <c r="A10" s="29"/>
      <c r="B10" s="26" t="s">
        <v>74</v>
      </c>
      <c r="C10" s="27" t="s">
        <v>74</v>
      </c>
      <c r="D10" s="28" t="s">
        <v>74</v>
      </c>
    </row>
    <row r="11" spans="1:4" x14ac:dyDescent="0.3">
      <c r="A11" s="29"/>
      <c r="B11" s="26" t="s">
        <v>74</v>
      </c>
      <c r="C11" s="27" t="s">
        <v>74</v>
      </c>
      <c r="D11" s="28" t="s">
        <v>74</v>
      </c>
    </row>
    <row r="12" spans="1:4" x14ac:dyDescent="0.3">
      <c r="A12" s="29"/>
      <c r="B12" s="26" t="s">
        <v>74</v>
      </c>
      <c r="C12" s="27" t="s">
        <v>74</v>
      </c>
      <c r="D12" s="28" t="s">
        <v>74</v>
      </c>
    </row>
    <row r="13" spans="1:4" x14ac:dyDescent="0.3">
      <c r="A13" s="29"/>
      <c r="B13" s="26" t="s">
        <v>74</v>
      </c>
      <c r="C13" s="27" t="s">
        <v>74</v>
      </c>
      <c r="D13" s="28" t="s">
        <v>74</v>
      </c>
    </row>
    <row r="14" spans="1:4" x14ac:dyDescent="0.3">
      <c r="A14" s="29"/>
      <c r="B14" s="26" t="s">
        <v>74</v>
      </c>
      <c r="C14" s="27" t="s">
        <v>74</v>
      </c>
      <c r="D14" s="28" t="s">
        <v>74</v>
      </c>
    </row>
    <row r="15" spans="1:4" x14ac:dyDescent="0.3">
      <c r="A15" s="29"/>
      <c r="B15" s="26" t="s">
        <v>74</v>
      </c>
      <c r="C15" s="27" t="s">
        <v>74</v>
      </c>
      <c r="D15" s="28" t="s">
        <v>74</v>
      </c>
    </row>
    <row r="16" spans="1:4" x14ac:dyDescent="0.3">
      <c r="A16" s="29"/>
      <c r="B16" s="26" t="s">
        <v>74</v>
      </c>
      <c r="C16" s="27" t="s">
        <v>74</v>
      </c>
      <c r="D16" s="28" t="s">
        <v>74</v>
      </c>
    </row>
    <row r="17" spans="1:4" x14ac:dyDescent="0.3">
      <c r="A17" s="29"/>
      <c r="B17" s="26" t="s">
        <v>74</v>
      </c>
      <c r="C17" s="27" t="s">
        <v>74</v>
      </c>
      <c r="D17" s="28" t="s">
        <v>74</v>
      </c>
    </row>
    <row r="18" spans="1:4" x14ac:dyDescent="0.3">
      <c r="A18" s="29"/>
      <c r="B18" s="26" t="s">
        <v>74</v>
      </c>
      <c r="C18" s="27" t="s">
        <v>74</v>
      </c>
      <c r="D18" s="28" t="s">
        <v>74</v>
      </c>
    </row>
    <row r="19" spans="1:4" x14ac:dyDescent="0.3">
      <c r="A19" s="29"/>
      <c r="B19" s="26" t="s">
        <v>74</v>
      </c>
      <c r="C19" s="27" t="s">
        <v>74</v>
      </c>
      <c r="D19" s="28" t="s">
        <v>74</v>
      </c>
    </row>
    <row r="20" spans="1:4" x14ac:dyDescent="0.3">
      <c r="A20" s="29"/>
      <c r="B20" s="26" t="s">
        <v>74</v>
      </c>
      <c r="C20" s="27" t="s">
        <v>74</v>
      </c>
      <c r="D20" s="28" t="s">
        <v>74</v>
      </c>
    </row>
  </sheetData>
  <sheetProtection algorithmName="SHA-512" hashValue="vu4g9qVr5jT+3wbvgo7BfyNi/0zfXIH5F9eEqR3FAvBMfK+Fhnc+CNyHweXkuqit4Tvg0KbYGBn+QJ48rih3xw==" saltValue="nqEtBOgM2xy/oXXaMzIGww==" spinCount="100000" sheet="1" objects="1" scenarios="1"/>
  <mergeCells count="1">
    <mergeCell ref="A1:D1"/>
  </mergeCells>
  <conditionalFormatting sqref="A4:D20">
    <cfRule type="expression" dxfId="0" priority="1">
      <formula>AND($A4&lt;&gt;"",MOD(ROW(),2)=0)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الشيكات</vt:lpstr>
      <vt:lpstr>شيكات علينا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2026-10-28T13:44:38Z</dcterms:modified>
</cp:coreProperties>
</file>