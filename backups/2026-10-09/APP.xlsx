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F7EE912A-93C9-41D7-94C1-ABAB8CAAECD4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<sst xmlns="http://schemas.openxmlformats.org/spreadsheetml/2006/main" count="854" uniqueCount="146">
  <si>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</si>
  <si>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</si>
  <si>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</si>
  <si>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</si>
  <si>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</si>
  <si>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</si>
  <si>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</si>
  <si>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</si>
  <si>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</si>
  <si>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</si>
  <si>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</si>
  <si>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</si>
  <si>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</si>
  <si>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</si>
  <si>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</si>
  <si>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</si>
  <si>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</si>
  <si>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</si>
  <si>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</si>
  <si>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</si>
  <si>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</si>
  <si>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</si>
  <si>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</si>
  <si>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</si>
  <si>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</si>
  <si>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</si>
  <si>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</si>
  <si>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</si>
  <si>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</si>
  <si>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</si>
  <si>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</si>
  <si>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</si>
  <si>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</si>
  <si>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</si>
  <si>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</si>
  <si>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</si>
  <si>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</si>
  <si>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</si>
  <si>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</si>
  <si>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</si>
  <si>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</si>
  <si>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</si>
  <si>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</si>
  <si>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</si>
  <si>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</si>
  <si>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</si>
  <si>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</si>
  <si>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</si>
  <si>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</si>
  <si>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</si>
  <si>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</si>
  <si>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</si>
  <si>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</si>
  <si>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</si>
  <si>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</si>
  <si>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</si>
  <si>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</si>
  <si>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</si>
  <si>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</si>
  <si>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</si>
  <si>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</si>
  <si>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</si>
  <si>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</si>
  <si>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</si>
  <si>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</si>
  <si>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</si>
  <si>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</si>
  <si>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</si>
  <si>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</si>
  <si>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</si>
  <si>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</si>
  <si>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</si>
  <si>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</si>
  <si>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</si>
  <si>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</si>
  <si>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</si>
  <si>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</si>
  <si>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</si>
  <si>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</si>
  <si>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</si>
  <si>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</si>
  <si>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</si>
  <si>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</si>
  <si>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</si>
  <si>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</si>
  <si>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</si>
  <si>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</si>
  <si>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</si>
  <si>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</si>
  <si>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</si>
  <si>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</si>
  <si>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</si>
  <si>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</si>
  <si>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</si>
  <si>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</si>
  <si>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</si>
  <si>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</si>
  <si>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</si>
  <si>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</si>
  <si>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</si>
  <si>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</si>
  <si>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</si>
  <si>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</si>
  <si>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</si>
  <si>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</si>
  <si>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</si>
  <si>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</si>
  <si>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</si>
  <si>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</si>
  <si>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</si>
  <si>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</si>
  <si>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متبقي منه 380,021</t>
  </si>
  <si>
    <t>متبقي كامل</t>
  </si>
  <si>
    <t>متبقي منه 5,700,000</t>
  </si>
  <si>
    <t>الامين</t>
  </si>
  <si>
    <t>كاش 50% - 50 % شيك اجل 30 يوم</t>
  </si>
  <si>
    <t>⚠ باقي 19 يوم</t>
  </si>
  <si>
    <t>🔔 قريب</t>
  </si>
  <si>
    <t>✅ مسدّد
125,998,189</t>
  </si>
  <si>
    <t>كاش 100 %</t>
  </si>
  <si>
    <t>⚠ باقي 18 يوم</t>
  </si>
  <si>
    <t>⚠ باقي 49 يوم</t>
  </si>
  <si>
    <t>🔔 قريب الاستحقاق
10,539,762</t>
  </si>
  <si>
    <t>شيك 30 يوم 50 % - شيك 60 يوم 50%</t>
  </si>
  <si>
    <t>⚠ شيك متأخر 48 يوم</t>
  </si>
  <si>
    <t>⚠ شيك متأخر 17 يوم</t>
  </si>
  <si>
    <t>⚠ شيك متأخر 11 يوم</t>
  </si>
  <si>
    <t>⚠ شيك متأخر 1 يوم</t>
  </si>
  <si>
    <t>⚠ باقي 3 يوم</t>
  </si>
  <si>
    <t>⚠ باقي 10 يوم</t>
  </si>
  <si>
    <t>⚠ باقي 13 يوم</t>
  </si>
  <si>
    <t>⚠ باقي 15 يوم</t>
  </si>
  <si>
    <t>⚠ باقي 17 يوم</t>
  </si>
  <si>
    <t>⚠ باقي 21 يوم</t>
  </si>
  <si>
    <t>⚠ باقي 48 يوم</t>
  </si>
  <si>
    <t>⚠ باقي 52 يوم</t>
  </si>
  <si>
    <t>⚠ باقي 23 يوم</t>
  </si>
  <si>
    <t>49 يوم</t>
  </si>
  <si>
    <t>43 يوم</t>
  </si>
  <si>
    <t>18 يوم</t>
  </si>
  <si>
    <t>15 يوم</t>
  </si>
  <si>
    <t>يومان</t>
  </si>
  <si>
    <t>🔔 متبقي 3 أيام</t>
  </si>
  <si>
    <t>⚠ بدون تاريخ</t>
  </si>
  <si>
    <t>🟢 جارٍ
55,362,045</t>
  </si>
  <si>
    <t>⚠ متأخر
12,168,456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</si>
</sst>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15" borderId="8" xfId="0" applyNumberFormat="1" applyFont="1" applyFill="1" applyBorder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75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124</v>
      </c>
      <c r="H3" s="19" t="s">
        <v>111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125</v>
      </c>
      <c r="H4" s="19" t="s">
        <v>112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126</v>
      </c>
      <c r="H5" s="19" t="s">
        <v>113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127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128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129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130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131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116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116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130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132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109</v>
      </c>
      <c r="F15" s="19" t="s">
        <v>10</v>
      </c>
      <c r="G15" s="19" t="s">
        <v>120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110</v>
      </c>
      <c r="F16" s="19" t="s">
        <v>10</v>
      </c>
      <c r="G16" s="19" t="s">
        <v>133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134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109</v>
      </c>
      <c r="F18" s="19" t="s">
        <v>10</v>
      </c>
      <c r="G18" s="19" t="s">
        <v>121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135</v>
      </c>
      <c r="H19" s="19"/>
      <c r="I19" s="19"/>
    </row>
    <row r="20" spans="1:9" x14ac:dyDescent="0.3">
      <c r="A20" s="19" t="s">
        <v>114</v>
      </c>
      <c r="B20" s="19">
        <v>74668</v>
      </c>
      <c r="C20" s="19">
        <v>1400000</v>
      </c>
      <c r="D20" s="74">
        <v>46325</v>
      </c>
      <c r="E20" s="19" t="s">
        <v>9</v>
      </c>
      <c r="F20" s="19" t="s">
        <v>10</v>
      </c>
      <c r="G20" s="19" t="s">
        <v>136</v>
      </c>
      <c r="H20" s="19"/>
      <c r="I20" s="19"/>
    </row>
    <row r="21" spans="1:9" x14ac:dyDescent="0.3">
      <c r="A21" s="19" t="s">
        <v>114</v>
      </c>
      <c r="B21" s="19">
        <v>74669</v>
      </c>
      <c r="C21" s="19">
        <v>1200000</v>
      </c>
      <c r="D21" s="74">
        <v>46325</v>
      </c>
      <c r="E21" s="19" t="s">
        <v>9</v>
      </c>
      <c r="F21" s="19" t="s">
        <v>10</v>
      </c>
      <c r="G21" s="19" t="s">
        <v>136</v>
      </c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36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107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107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107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107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108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108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108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108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123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123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123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123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123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123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123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123</v>
      </c>
      <c r="F220" s="74">
        <v>46292</v>
      </c>
      <c r="G220" s="36">
        <v>1023445</v>
      </c>
      <c r="H220" s="36">
        <v>1070083</v>
      </c>
    </row>
    <row r="221" spans="1:8" x14ac:dyDescent="0.3">
      <c r="A221" s="19" t="s">
        <v>114</v>
      </c>
      <c r="B221" s="34">
        <v>38000</v>
      </c>
      <c r="C221" s="34">
        <v>40000</v>
      </c>
      <c r="D221" s="33">
        <v>52</v>
      </c>
      <c r="E221" s="19" t="s">
        <v>115</v>
      </c>
      <c r="F221" s="74">
        <v>46297</v>
      </c>
      <c r="G221" s="36">
        <v>639920</v>
      </c>
      <c r="H221" s="36">
        <v>673600</v>
      </c>
    </row>
    <row r="222" spans="1:8" x14ac:dyDescent="0.3">
      <c r="A222" s="19" t="s">
        <v>114</v>
      </c>
      <c r="B222" s="34">
        <v>38000</v>
      </c>
      <c r="C222" s="34">
        <v>40000</v>
      </c>
      <c r="D222" s="33">
        <v>52</v>
      </c>
      <c r="E222" s="19" t="s">
        <v>115</v>
      </c>
      <c r="F222" s="74">
        <v>46297</v>
      </c>
      <c r="G222" s="36">
        <v>4018120.0000000005</v>
      </c>
      <c r="H222" s="36">
        <v>4229600</v>
      </c>
    </row>
    <row r="223" spans="1:8" x14ac:dyDescent="0.3">
      <c r="A223" s="19" t="s">
        <v>114</v>
      </c>
      <c r="B223" s="34">
        <v>38000</v>
      </c>
      <c r="C223" s="34">
        <v>40000</v>
      </c>
      <c r="D223" s="33">
        <v>52</v>
      </c>
      <c r="E223" s="19" t="s">
        <v>115</v>
      </c>
      <c r="F223" s="74">
        <v>46297</v>
      </c>
      <c r="G223" s="36">
        <v>168720.00000000003</v>
      </c>
      <c r="H223" s="36">
        <v>177600.00000000003</v>
      </c>
    </row>
    <row r="224" spans="1:8" x14ac:dyDescent="0.3">
      <c r="A224" s="19" t="s">
        <v>114</v>
      </c>
      <c r="B224" s="34">
        <v>38000</v>
      </c>
      <c r="C224" s="34">
        <v>40000</v>
      </c>
      <c r="D224" s="33">
        <v>52</v>
      </c>
      <c r="E224" s="19" t="s">
        <v>115</v>
      </c>
      <c r="F224" s="74">
        <v>46297</v>
      </c>
      <c r="G224" s="36">
        <v>288800</v>
      </c>
      <c r="H224" s="36">
        <v>304000</v>
      </c>
    </row>
    <row r="225" spans="1:8" x14ac:dyDescent="0.3">
      <c r="A225" s="19" t="s">
        <v>11</v>
      </c>
      <c r="B225" s="34">
        <v>41150</v>
      </c>
      <c r="C225" s="34">
        <v>41700</v>
      </c>
      <c r="D225" s="33">
        <v>53</v>
      </c>
      <c r="E225" s="19" t="s">
        <v>119</v>
      </c>
      <c r="F225" s="74"/>
      <c r="G225" s="36">
        <v>0</v>
      </c>
      <c r="H225" s="36">
        <v>0</v>
      </c>
    </row>
    <row r="226" spans="1:8" x14ac:dyDescent="0.3">
      <c r="A226" s="19" t="s">
        <v>11</v>
      </c>
      <c r="B226" s="34">
        <v>41150</v>
      </c>
      <c r="C226" s="34">
        <v>41700</v>
      </c>
      <c r="D226" s="33">
        <v>53</v>
      </c>
      <c r="E226" s="19" t="s">
        <v>119</v>
      </c>
      <c r="F226" s="74"/>
      <c r="G226" s="36">
        <v>0</v>
      </c>
      <c r="H226" s="36">
        <v>0</v>
      </c>
    </row>
    <row r="227" spans="1:8" x14ac:dyDescent="0.3">
      <c r="A227" s="19" t="s">
        <v>11</v>
      </c>
      <c r="B227" s="34">
        <v>41150</v>
      </c>
      <c r="C227" s="34">
        <v>41700</v>
      </c>
      <c r="D227" s="33">
        <v>53</v>
      </c>
      <c r="E227" s="19" t="s">
        <v>119</v>
      </c>
      <c r="F227" s="74"/>
      <c r="G227" s="36">
        <v>0</v>
      </c>
      <c r="H227" s="36">
        <v>0</v>
      </c>
    </row>
    <row r="228" spans="1:8" x14ac:dyDescent="0.3">
      <c r="A228" s="19" t="s">
        <v>11</v>
      </c>
      <c r="B228" s="34">
        <v>41150</v>
      </c>
      <c r="C228" s="34">
        <v>41700</v>
      </c>
      <c r="D228" s="33">
        <v>53</v>
      </c>
      <c r="E228" s="19" t="s">
        <v>119</v>
      </c>
      <c r="F228" s="74"/>
      <c r="G228" s="36">
        <v>783496</v>
      </c>
      <c r="H228" s="36">
        <v>793968</v>
      </c>
    </row>
    <row r="229" spans="1:8" x14ac:dyDescent="0.3">
      <c r="A229" s="19" t="s">
        <v>11</v>
      </c>
      <c r="B229" s="34">
        <v>41150</v>
      </c>
      <c r="C229" s="34">
        <v>41700</v>
      </c>
      <c r="D229" s="33">
        <v>53</v>
      </c>
      <c r="E229" s="19" t="s">
        <v>119</v>
      </c>
      <c r="F229" s="74"/>
      <c r="G229" s="36">
        <v>798309.99999999988</v>
      </c>
      <c r="H229" s="36">
        <v>808979.99999999988</v>
      </c>
    </row>
    <row r="230" spans="1:8" x14ac:dyDescent="0.3">
      <c r="A230" s="19" t="s">
        <v>11</v>
      </c>
      <c r="B230" s="34">
        <v>41150</v>
      </c>
      <c r="C230" s="34">
        <v>41700</v>
      </c>
      <c r="D230" s="33">
        <v>53</v>
      </c>
      <c r="E230" s="19" t="s">
        <v>119</v>
      </c>
      <c r="F230" s="74"/>
      <c r="G230" s="36">
        <v>1635301</v>
      </c>
      <c r="H230" s="36">
        <v>1657158</v>
      </c>
    </row>
    <row r="231" spans="1:8" x14ac:dyDescent="0.3">
      <c r="A231" s="19" t="s">
        <v>11</v>
      </c>
      <c r="B231" s="34">
        <v>39500</v>
      </c>
      <c r="C231" s="34">
        <v>39650</v>
      </c>
      <c r="D231" s="33">
        <v>54</v>
      </c>
      <c r="E231" s="19" t="s">
        <v>119</v>
      </c>
      <c r="F231" s="74"/>
      <c r="G231" s="36">
        <v>1166040</v>
      </c>
      <c r="H231" s="36">
        <v>1170468</v>
      </c>
    </row>
    <row r="232" spans="1:8" x14ac:dyDescent="0.3">
      <c r="A232" s="19" t="s">
        <v>114</v>
      </c>
      <c r="B232" s="34">
        <v>39900</v>
      </c>
      <c r="C232" s="34">
        <v>41000</v>
      </c>
      <c r="D232" s="33">
        <v>55</v>
      </c>
      <c r="E232" s="19" t="s">
        <v>115</v>
      </c>
      <c r="F232" s="74">
        <v>46301</v>
      </c>
      <c r="G232" s="36">
        <v>183540</v>
      </c>
      <c r="H232" s="36">
        <v>188599.99999999997</v>
      </c>
    </row>
    <row r="233" spans="1:8" x14ac:dyDescent="0.3">
      <c r="A233" s="19" t="s">
        <v>114</v>
      </c>
      <c r="B233" s="34">
        <v>39900</v>
      </c>
      <c r="C233" s="34">
        <v>41000</v>
      </c>
      <c r="D233" s="33">
        <v>55</v>
      </c>
      <c r="E233" s="19" t="s">
        <v>115</v>
      </c>
      <c r="F233" s="74">
        <v>46301</v>
      </c>
      <c r="G233" s="36">
        <v>1178646</v>
      </c>
      <c r="H233" s="36">
        <v>1211140</v>
      </c>
    </row>
    <row r="234" spans="1:8" x14ac:dyDescent="0.3">
      <c r="A234" s="19" t="s">
        <v>114</v>
      </c>
      <c r="B234" s="34">
        <v>39900</v>
      </c>
      <c r="C234" s="34">
        <v>41000</v>
      </c>
      <c r="D234" s="33">
        <v>55</v>
      </c>
      <c r="E234" s="19" t="s">
        <v>115</v>
      </c>
      <c r="F234" s="74">
        <v>46301</v>
      </c>
      <c r="G234" s="36">
        <v>156009</v>
      </c>
      <c r="H234" s="36">
        <v>160310</v>
      </c>
    </row>
    <row r="235" spans="1:8" x14ac:dyDescent="0.3">
      <c r="A235" s="19" t="s">
        <v>114</v>
      </c>
      <c r="B235" s="34">
        <v>39900</v>
      </c>
      <c r="C235" s="34">
        <v>41000</v>
      </c>
      <c r="D235" s="33">
        <v>55</v>
      </c>
      <c r="E235" s="19" t="s">
        <v>115</v>
      </c>
      <c r="F235" s="74">
        <v>46301</v>
      </c>
      <c r="G235" s="36">
        <v>786429</v>
      </c>
      <c r="H235" s="36">
        <v>808110</v>
      </c>
    </row>
    <row r="236" spans="1:8" x14ac:dyDescent="0.3">
      <c r="A236" s="19" t="s">
        <v>114</v>
      </c>
      <c r="B236" s="34">
        <v>38000</v>
      </c>
      <c r="C236" s="34">
        <v>41000</v>
      </c>
      <c r="D236" s="33">
        <v>55</v>
      </c>
      <c r="E236" s="19" t="s">
        <v>115</v>
      </c>
      <c r="F236" s="74">
        <v>46301</v>
      </c>
      <c r="G236" s="36">
        <v>2245990</v>
      </c>
      <c r="H236" s="36">
        <v>2423305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workbookViewId="0">
      <selection activeCell="H10" sqref="H10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48" t="s">
        <v>145</v>
      </c>
      <c r="B2" s="65" t="s">
        <v>122</v>
      </c>
      <c r="C2" s="66"/>
      <c r="D2" s="49" t="s">
        <v>118</v>
      </c>
      <c r="E2" s="50" t="s">
        <v>144</v>
      </c>
      <c r="F2" s="51" t="s">
        <v>101</v>
      </c>
      <c r="G2" s="52" t="s">
        <v>3</v>
      </c>
      <c r="H2" s="53" t="s">
        <v>102</v>
      </c>
      <c r="I2" s="52" t="s">
        <v>103</v>
      </c>
      <c r="J2" s="53" t="s">
        <v>104</v>
      </c>
      <c r="K2" s="52" t="s">
        <v>103</v>
      </c>
      <c r="L2" s="54" t="s">
        <v>105</v>
      </c>
    </row>
    <row r="3" spans="1:12" ht="14.4" customHeight="1" x14ac:dyDescent="0.3">
      <c r="A3" s="39" t="s">
        <v>106</v>
      </c>
      <c r="B3" s="38"/>
      <c r="C3" s="39"/>
      <c r="D3" s="40"/>
      <c r="E3" s="56">
        <v>56</v>
      </c>
      <c r="F3" s="40"/>
      <c r="G3" s="41">
        <v>219304844.7149123</v>
      </c>
      <c r="H3" s="42">
        <v>136804006.93614036</v>
      </c>
      <c r="I3" s="41">
        <v>82500837.778771937</v>
      </c>
      <c r="J3" s="41">
        <v>12168456</v>
      </c>
      <c r="K3" s="40"/>
      <c r="L3" s="40"/>
    </row>
    <row r="4" spans="1:12" ht="25.2" customHeight="1" x14ac:dyDescent="0.3">
      <c r="A4" s="57" t="s">
        <v>99</v>
      </c>
      <c r="B4" s="57" t="s">
        <v>0</v>
      </c>
      <c r="C4" s="57" t="s">
        <v>97</v>
      </c>
      <c r="D4" s="57" t="s">
        <v>84</v>
      </c>
      <c r="E4" s="57" t="s">
        <v>100</v>
      </c>
      <c r="F4" s="57" t="s">
        <v>3</v>
      </c>
      <c r="G4" s="57" t="s">
        <v>85</v>
      </c>
      <c r="H4" s="57" t="s">
        <v>86</v>
      </c>
      <c r="I4" s="57" t="s">
        <v>87</v>
      </c>
      <c r="J4" s="43" t="s">
        <v>88</v>
      </c>
      <c r="K4" s="43" t="s">
        <v>89</v>
      </c>
      <c r="L4" s="57" t="s">
        <v>90</v>
      </c>
    </row>
    <row r="5" spans="1:12" ht="14.4" customHeight="1" x14ac:dyDescent="0.3">
      <c r="A5" s="44" t="s">
        <v>39</v>
      </c>
      <c r="B5" s="44" t="s">
        <v>8</v>
      </c>
      <c r="C5" s="45">
        <v>46232</v>
      </c>
      <c r="D5" s="46">
        <v>7140063.75</v>
      </c>
      <c r="E5" s="44" t="s">
        <v>91</v>
      </c>
      <c r="F5" s="45">
        <v>46254</v>
      </c>
      <c r="G5" s="61">
        <v>2380021.25</v>
      </c>
      <c r="H5" s="46">
        <v>2000000</v>
      </c>
      <c r="I5" s="46">
        <v>380021.25</v>
      </c>
      <c r="J5" s="46">
        <v>380021.25</v>
      </c>
      <c r="K5" s="47" t="s">
        <v>137</v>
      </c>
      <c r="L5" s="44" t="s">
        <v>92</v>
      </c>
    </row>
    <row r="6" spans="1:12" ht="14.4" customHeight="1" x14ac:dyDescent="0.3">
      <c r="A6" s="44">
        <v>46</v>
      </c>
      <c r="B6" s="44" t="s">
        <v>8</v>
      </c>
      <c r="C6" s="45">
        <v>46281</v>
      </c>
      <c r="D6" s="46">
        <v>9934056</v>
      </c>
      <c r="E6" s="44" t="s">
        <v>91</v>
      </c>
      <c r="F6" s="45">
        <v>46260</v>
      </c>
      <c r="G6" s="46">
        <v>3311352</v>
      </c>
      <c r="H6" s="46">
        <v>3300000</v>
      </c>
      <c r="I6" s="46">
        <v>11352</v>
      </c>
      <c r="J6" s="46">
        <v>11352</v>
      </c>
      <c r="K6" s="47" t="s">
        <v>138</v>
      </c>
      <c r="L6" s="44" t="s">
        <v>92</v>
      </c>
    </row>
    <row r="7" spans="1:12" ht="14.4" customHeight="1" x14ac:dyDescent="0.3">
      <c r="A7" s="44" t="s">
        <v>39</v>
      </c>
      <c r="B7" s="44" t="s">
        <v>8</v>
      </c>
      <c r="C7" s="45">
        <v>46232</v>
      </c>
      <c r="D7" s="46">
        <v>7140063.75</v>
      </c>
      <c r="E7" s="44" t="s">
        <v>94</v>
      </c>
      <c r="F7" s="45">
        <v>46285</v>
      </c>
      <c r="G7" s="61">
        <v>2380021.25</v>
      </c>
      <c r="H7" s="46">
        <v>973387</v>
      </c>
      <c r="I7" s="46">
        <v>1406634.25</v>
      </c>
      <c r="J7" s="46">
        <v>1406634.25</v>
      </c>
      <c r="K7" s="47" t="s">
        <v>139</v>
      </c>
      <c r="L7" s="44" t="s">
        <v>92</v>
      </c>
    </row>
    <row r="8" spans="1:12" ht="14.4" customHeight="1" x14ac:dyDescent="0.3">
      <c r="A8" s="44">
        <v>50</v>
      </c>
      <c r="B8" s="44" t="s">
        <v>11</v>
      </c>
      <c r="C8" s="45">
        <v>46288</v>
      </c>
      <c r="D8" s="46">
        <v>3915716</v>
      </c>
      <c r="E8" s="44" t="s">
        <v>93</v>
      </c>
      <c r="F8" s="45">
        <v>46288</v>
      </c>
      <c r="G8" s="46">
        <v>3915716</v>
      </c>
      <c r="H8" s="46">
        <v>2799694</v>
      </c>
      <c r="I8" s="46">
        <v>1116022</v>
      </c>
      <c r="J8" s="46">
        <v>1116022</v>
      </c>
      <c r="K8" s="47" t="s">
        <v>140</v>
      </c>
      <c r="L8" s="44" t="s">
        <v>92</v>
      </c>
    </row>
    <row r="9" spans="1:12" ht="14.4" customHeight="1" x14ac:dyDescent="0.3">
      <c r="A9" s="44">
        <v>3</v>
      </c>
      <c r="B9" s="44" t="s">
        <v>8</v>
      </c>
      <c r="C9" s="45">
        <v>46211</v>
      </c>
      <c r="D9" s="46">
        <v>7857894</v>
      </c>
      <c r="E9" s="44" t="s">
        <v>91</v>
      </c>
      <c r="F9" s="45">
        <v>46301</v>
      </c>
      <c r="G9" s="46">
        <v>7857894</v>
      </c>
      <c r="H9" s="46">
        <v>0</v>
      </c>
      <c r="I9" s="46">
        <v>7857894</v>
      </c>
      <c r="J9" s="46">
        <v>7857894</v>
      </c>
      <c r="K9" s="47" t="s">
        <v>141</v>
      </c>
      <c r="L9" s="44" t="s">
        <v>92</v>
      </c>
    </row>
    <row r="10" spans="1:12" ht="14.4" customHeight="1" x14ac:dyDescent="0.3">
      <c r="A10" s="44">
        <v>55</v>
      </c>
      <c r="B10" s="44" t="s">
        <v>114</v>
      </c>
      <c r="C10" s="45">
        <v>46301</v>
      </c>
      <c r="D10" s="46">
        <v>4791465</v>
      </c>
      <c r="E10" s="44" t="s">
        <v>93</v>
      </c>
      <c r="F10" s="45">
        <v>46301</v>
      </c>
      <c r="G10" s="46">
        <v>2395732.5</v>
      </c>
      <c r="H10" s="46">
        <v>999200</v>
      </c>
      <c r="I10" s="46">
        <v>1396532.5</v>
      </c>
      <c r="J10" s="46">
        <v>1396532.5</v>
      </c>
      <c r="K10" s="47" t="s">
        <v>141</v>
      </c>
      <c r="L10" s="44" t="s">
        <v>92</v>
      </c>
    </row>
    <row r="11" spans="1:12" ht="14.4" customHeight="1" x14ac:dyDescent="0.3">
      <c r="A11" s="44">
        <v>36</v>
      </c>
      <c r="B11" s="44" t="s">
        <v>13</v>
      </c>
      <c r="C11" s="45">
        <v>46245</v>
      </c>
      <c r="D11" s="46">
        <v>5129113.6140350876</v>
      </c>
      <c r="E11" s="44" t="s">
        <v>91</v>
      </c>
      <c r="F11" s="45">
        <v>46305</v>
      </c>
      <c r="G11" s="46">
        <v>5129113.6140350876</v>
      </c>
      <c r="H11" s="46">
        <v>85969</v>
      </c>
      <c r="I11" s="46">
        <v>5043144.6140350876</v>
      </c>
      <c r="J11" s="46">
        <v>0</v>
      </c>
      <c r="K11" s="47"/>
      <c r="L11" s="44" t="s">
        <v>142</v>
      </c>
    </row>
    <row r="12" spans="1:12" ht="14.4" customHeight="1" x14ac:dyDescent="0.3">
      <c r="A12" s="44">
        <v>39</v>
      </c>
      <c r="B12" s="44" t="s">
        <v>47</v>
      </c>
      <c r="C12" s="45">
        <v>46250</v>
      </c>
      <c r="D12" s="46">
        <v>2017305</v>
      </c>
      <c r="E12" s="44" t="s">
        <v>91</v>
      </c>
      <c r="F12" s="45">
        <v>46310</v>
      </c>
      <c r="G12" s="46">
        <v>2017305</v>
      </c>
      <c r="H12" s="46">
        <v>500000</v>
      </c>
      <c r="I12" s="46">
        <v>1517305</v>
      </c>
      <c r="J12" s="46">
        <v>0</v>
      </c>
      <c r="K12" s="47"/>
      <c r="L12" s="44" t="s">
        <v>117</v>
      </c>
    </row>
    <row r="13" spans="1:12" ht="14.4" customHeight="1" x14ac:dyDescent="0.3">
      <c r="A13" s="55">
        <v>41</v>
      </c>
      <c r="B13" s="55" t="s">
        <v>13</v>
      </c>
      <c r="C13" s="58">
        <v>46251</v>
      </c>
      <c r="D13" s="59">
        <v>3979312.8421052634</v>
      </c>
      <c r="E13" s="55" t="s">
        <v>91</v>
      </c>
      <c r="F13" s="58">
        <v>46311</v>
      </c>
      <c r="G13" s="62">
        <v>3979312.8421052634</v>
      </c>
      <c r="H13" s="59">
        <v>0</v>
      </c>
      <c r="I13" s="59">
        <v>3979312.8421052634</v>
      </c>
      <c r="J13" s="59">
        <v>0</v>
      </c>
      <c r="K13" s="60"/>
      <c r="L13" s="55" t="s">
        <v>117</v>
      </c>
    </row>
    <row r="14" spans="1:12" ht="14.4" customHeight="1" x14ac:dyDescent="0.3">
      <c r="A14" s="55">
        <v>47</v>
      </c>
      <c r="B14" s="55" t="s">
        <v>11</v>
      </c>
      <c r="C14" s="58">
        <v>46284</v>
      </c>
      <c r="D14" s="59">
        <v>4577624</v>
      </c>
      <c r="E14" s="55" t="s">
        <v>91</v>
      </c>
      <c r="F14" s="58">
        <v>46314</v>
      </c>
      <c r="G14" s="59">
        <v>3433218</v>
      </c>
      <c r="H14" s="59">
        <v>0</v>
      </c>
      <c r="I14" s="59">
        <v>3433218</v>
      </c>
      <c r="J14" s="59">
        <v>0</v>
      </c>
      <c r="K14" s="60"/>
      <c r="L14" s="55" t="s">
        <v>95</v>
      </c>
    </row>
    <row r="15" spans="1:12" ht="14.4" customHeight="1" x14ac:dyDescent="0.3">
      <c r="A15" s="55" t="s">
        <v>39</v>
      </c>
      <c r="B15" s="55" t="s">
        <v>8</v>
      </c>
      <c r="C15" s="58">
        <v>46232</v>
      </c>
      <c r="D15" s="59">
        <v>7140063.75</v>
      </c>
      <c r="E15" s="55" t="s">
        <v>96</v>
      </c>
      <c r="F15" s="58">
        <v>46315</v>
      </c>
      <c r="G15" s="59">
        <v>2380021.25</v>
      </c>
      <c r="H15" s="59">
        <v>0</v>
      </c>
      <c r="I15" s="59">
        <v>2380021.25</v>
      </c>
      <c r="J15" s="59">
        <v>0</v>
      </c>
      <c r="K15" s="60"/>
      <c r="L15" s="55" t="s">
        <v>95</v>
      </c>
    </row>
    <row r="16" spans="1:12" ht="14.4" customHeight="1" x14ac:dyDescent="0.3">
      <c r="A16" s="55">
        <v>43</v>
      </c>
      <c r="B16" s="55" t="s">
        <v>15</v>
      </c>
      <c r="C16" s="58">
        <v>46256</v>
      </c>
      <c r="D16" s="59">
        <v>17745354</v>
      </c>
      <c r="E16" s="55" t="s">
        <v>91</v>
      </c>
      <c r="F16" s="58">
        <v>46316</v>
      </c>
      <c r="G16" s="59">
        <v>17745354</v>
      </c>
      <c r="H16" s="59">
        <v>0</v>
      </c>
      <c r="I16" s="59">
        <v>17745354</v>
      </c>
      <c r="J16" s="59">
        <v>0</v>
      </c>
      <c r="K16" s="60"/>
      <c r="L16" s="55" t="s">
        <v>95</v>
      </c>
    </row>
    <row r="17" spans="1:12" ht="14.4" customHeight="1" x14ac:dyDescent="0.3">
      <c r="A17" s="55">
        <v>31</v>
      </c>
      <c r="B17" s="55" t="s">
        <v>8</v>
      </c>
      <c r="C17" s="58">
        <v>46240</v>
      </c>
      <c r="D17" s="59">
        <v>21017295.5</v>
      </c>
      <c r="E17" s="55" t="s">
        <v>96</v>
      </c>
      <c r="F17" s="58">
        <v>46321</v>
      </c>
      <c r="G17" s="59">
        <v>7005765.166666667</v>
      </c>
      <c r="H17" s="59">
        <v>0</v>
      </c>
      <c r="I17" s="59">
        <v>7005765.166666667</v>
      </c>
      <c r="J17" s="59">
        <v>0</v>
      </c>
      <c r="K17" s="60"/>
      <c r="L17" s="55" t="s">
        <v>95</v>
      </c>
    </row>
    <row r="18" spans="1:12" ht="14.4" customHeight="1" x14ac:dyDescent="0.3">
      <c r="A18" s="55">
        <v>37</v>
      </c>
      <c r="B18" s="55" t="s">
        <v>8</v>
      </c>
      <c r="C18" s="58">
        <v>46250</v>
      </c>
      <c r="D18" s="59">
        <v>8878488</v>
      </c>
      <c r="E18" s="55" t="s">
        <v>96</v>
      </c>
      <c r="F18" s="58">
        <v>46321</v>
      </c>
      <c r="G18" s="59">
        <v>2959496</v>
      </c>
      <c r="H18" s="59">
        <v>0</v>
      </c>
      <c r="I18" s="59">
        <v>2959496</v>
      </c>
      <c r="J18" s="59">
        <v>0</v>
      </c>
      <c r="K18" s="60"/>
      <c r="L18" s="55" t="s">
        <v>95</v>
      </c>
    </row>
    <row r="19" spans="1:12" ht="14.4" customHeight="1" x14ac:dyDescent="0.3">
      <c r="A19" s="55">
        <v>44</v>
      </c>
      <c r="B19" s="55" t="s">
        <v>17</v>
      </c>
      <c r="C19" s="58">
        <v>46268</v>
      </c>
      <c r="D19" s="59">
        <v>7179524.3859649124</v>
      </c>
      <c r="E19" s="55" t="s">
        <v>91</v>
      </c>
      <c r="F19" s="58">
        <v>46321</v>
      </c>
      <c r="G19" s="59">
        <v>7179524.3859649124</v>
      </c>
      <c r="H19" s="59">
        <v>147567.97999999952</v>
      </c>
      <c r="I19" s="59">
        <v>7031956.4059649128</v>
      </c>
      <c r="J19" s="59">
        <v>0</v>
      </c>
      <c r="K19" s="60"/>
      <c r="L19" s="55" t="s">
        <v>95</v>
      </c>
    </row>
    <row r="20" spans="1:12" ht="14.4" customHeight="1" x14ac:dyDescent="0.3">
      <c r="A20" s="55">
        <v>46</v>
      </c>
      <c r="B20" s="55" t="s">
        <v>8</v>
      </c>
      <c r="C20" s="58">
        <v>46281</v>
      </c>
      <c r="D20" s="59">
        <v>9934056</v>
      </c>
      <c r="E20" s="55" t="s">
        <v>96</v>
      </c>
      <c r="F20" s="58">
        <v>46321</v>
      </c>
      <c r="G20" s="59">
        <v>3311352</v>
      </c>
      <c r="H20" s="59">
        <v>0</v>
      </c>
      <c r="I20" s="59">
        <v>3311352</v>
      </c>
      <c r="J20" s="59">
        <v>0</v>
      </c>
      <c r="K20" s="60"/>
      <c r="L20" s="55" t="s">
        <v>95</v>
      </c>
    </row>
    <row r="21" spans="1:12" ht="14.4" customHeight="1" x14ac:dyDescent="0.3">
      <c r="A21" s="55">
        <v>51</v>
      </c>
      <c r="B21" s="55" t="s">
        <v>11</v>
      </c>
      <c r="C21" s="58">
        <v>46292</v>
      </c>
      <c r="D21" s="59">
        <v>4576040</v>
      </c>
      <c r="E21" s="55" t="s">
        <v>91</v>
      </c>
      <c r="F21" s="58">
        <v>46322</v>
      </c>
      <c r="G21" s="59">
        <v>2288020</v>
      </c>
      <c r="H21" s="59">
        <v>0</v>
      </c>
      <c r="I21" s="59">
        <v>2288020</v>
      </c>
      <c r="J21" s="59">
        <v>0</v>
      </c>
      <c r="K21" s="60"/>
      <c r="L21" s="55" t="s">
        <v>95</v>
      </c>
    </row>
    <row r="22" spans="1:12" ht="14.4" customHeight="1" x14ac:dyDescent="0.3">
      <c r="A22" s="55">
        <v>52</v>
      </c>
      <c r="B22" s="55" t="s">
        <v>114</v>
      </c>
      <c r="C22" s="58">
        <v>46297</v>
      </c>
      <c r="D22" s="59">
        <v>5384800</v>
      </c>
      <c r="E22" s="55" t="s">
        <v>91</v>
      </c>
      <c r="F22" s="58">
        <v>46327</v>
      </c>
      <c r="G22" s="59">
        <v>2599999.9999999991</v>
      </c>
      <c r="H22" s="59">
        <v>0</v>
      </c>
      <c r="I22" s="59">
        <v>2599999.9999999991</v>
      </c>
      <c r="J22" s="59">
        <v>0</v>
      </c>
      <c r="K22" s="60"/>
      <c r="L22" s="55" t="s">
        <v>95</v>
      </c>
    </row>
    <row r="23" spans="1:12" ht="14.4" customHeight="1" x14ac:dyDescent="0.3">
      <c r="A23" s="55">
        <v>55</v>
      </c>
      <c r="B23" s="55" t="s">
        <v>114</v>
      </c>
      <c r="C23" s="58">
        <v>46301</v>
      </c>
      <c r="D23" s="59">
        <v>4791465</v>
      </c>
      <c r="E23" s="55" t="s">
        <v>91</v>
      </c>
      <c r="F23" s="58">
        <v>46331</v>
      </c>
      <c r="G23" s="59">
        <v>2395732.5</v>
      </c>
      <c r="H23" s="59">
        <v>0</v>
      </c>
      <c r="I23" s="59">
        <v>2395732.5</v>
      </c>
      <c r="J23" s="59">
        <v>0</v>
      </c>
      <c r="K23" s="60"/>
      <c r="L23" s="55" t="s">
        <v>95</v>
      </c>
    </row>
    <row r="24" spans="1:12" ht="14.4" customHeight="1" x14ac:dyDescent="0.3">
      <c r="A24" s="55">
        <v>49</v>
      </c>
      <c r="B24" s="55" t="s">
        <v>47</v>
      </c>
      <c r="C24" s="58">
        <v>46286</v>
      </c>
      <c r="D24" s="59">
        <v>1923110</v>
      </c>
      <c r="E24" s="55" t="s">
        <v>91</v>
      </c>
      <c r="F24" s="58">
        <v>46346</v>
      </c>
      <c r="G24" s="59">
        <v>1923110</v>
      </c>
      <c r="H24" s="59">
        <v>0</v>
      </c>
      <c r="I24" s="59">
        <v>1923110</v>
      </c>
      <c r="J24" s="59">
        <v>0</v>
      </c>
      <c r="K24" s="60"/>
      <c r="L24" s="55" t="s">
        <v>95</v>
      </c>
    </row>
    <row r="25" spans="1:12" ht="14.4" customHeight="1" x14ac:dyDescent="0.3">
      <c r="A25" s="55">
        <v>51</v>
      </c>
      <c r="B25" s="55" t="s">
        <v>11</v>
      </c>
      <c r="C25" s="58">
        <v>46292</v>
      </c>
      <c r="D25" s="59">
        <v>4576040</v>
      </c>
      <c r="E25" s="55" t="s">
        <v>94</v>
      </c>
      <c r="F25" s="58">
        <v>46353</v>
      </c>
      <c r="G25" s="59">
        <v>2288020</v>
      </c>
      <c r="H25" s="59">
        <v>0</v>
      </c>
      <c r="I25" s="59">
        <v>2288020</v>
      </c>
      <c r="J25" s="59">
        <v>0</v>
      </c>
      <c r="K25" s="60"/>
      <c r="L25" s="55" t="s">
        <v>95</v>
      </c>
    </row>
    <row r="26" spans="1:12" ht="14.4" customHeight="1" x14ac:dyDescent="0.3">
      <c r="A26" s="55">
        <v>53</v>
      </c>
      <c r="B26" s="55" t="s">
        <v>11</v>
      </c>
      <c r="C26" s="58"/>
      <c r="D26" s="59">
        <v>3260106</v>
      </c>
      <c r="E26" s="55" t="s">
        <v>93</v>
      </c>
      <c r="F26" s="58"/>
      <c r="G26" s="59">
        <v>3260106</v>
      </c>
      <c r="H26" s="59">
        <v>0</v>
      </c>
      <c r="I26" s="59">
        <v>3260106</v>
      </c>
      <c r="J26" s="59">
        <v>0</v>
      </c>
      <c r="K26" s="60"/>
      <c r="L26" s="55" t="s">
        <v>143</v>
      </c>
    </row>
    <row r="27" spans="1:12" ht="14.4" customHeight="1" x14ac:dyDescent="0.3">
      <c r="A27" s="55">
        <v>54</v>
      </c>
      <c r="B27" s="55" t="s">
        <v>11</v>
      </c>
      <c r="C27" s="58"/>
      <c r="D27" s="59">
        <v>1170468</v>
      </c>
      <c r="E27" s="55" t="s">
        <v>93</v>
      </c>
      <c r="F27" s="58"/>
      <c r="G27" s="59">
        <v>1170468</v>
      </c>
      <c r="H27" s="59">
        <v>0</v>
      </c>
      <c r="I27" s="59">
        <v>1170468</v>
      </c>
      <c r="J27" s="59">
        <v>0</v>
      </c>
      <c r="K27" s="60"/>
      <c r="L27" s="55" t="s">
        <v>143</v>
      </c>
    </row>
    <row r="28" spans="1:12" ht="14.4" customHeight="1" x14ac:dyDescent="0.3"/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8">
    <cfRule type="containsText" dxfId="11" priority="7" operator="containsText" text="مسدّد">
      <formula>NOT(ISERROR(SEARCH("مسدّد",L7)))</formula>
    </cfRule>
  </conditionalFormatting>
  <conditionalFormatting sqref="L7:L8">
    <cfRule type="containsText" dxfId="10" priority="8" operator="containsText" text="مستحق">
      <formula>NOT(ISERROR(SEARCH("مستحق",L7)))</formula>
    </cfRule>
  </conditionalFormatting>
  <conditionalFormatting sqref="L7:L8">
    <cfRule type="containsText" dxfId="9" priority="9" operator="containsText" text="قريب">
      <formula>NOT(ISERROR(SEARCH("قريب",L7)))</formula>
    </cfRule>
  </conditionalFormatting>
  <conditionalFormatting sqref="L7:L8">
    <cfRule type="containsText" dxfId="8" priority="10" operator="containsText" text="جار">
      <formula>NOT(ISERROR(SEARCH("جار",L7)))</formula>
    </cfRule>
  </conditionalFormatting>
  <conditionalFormatting sqref="L7:L8">
    <cfRule type="containsText" dxfId="7" priority="11" operator="containsText" text="بدون">
      <formula>NOT(ISERROR(SEARCH("بدون",L7)))</formula>
    </cfRule>
  </conditionalFormatting>
  <conditionalFormatting sqref="J7:J8">
    <cfRule type="cellIs" dxfId="6" priority="12" operator="greaterThan">
      <formula>0</formula>
    </cfRule>
  </conditionalFormatting>
  <conditionalFormatting sqref="L9:L27">
    <cfRule type="containsText" dxfId="5" priority="1" operator="containsText" text="مسدّد">
      <formula>NOT(ISERROR(SEARCH("مسدّد",L9)))</formula>
    </cfRule>
  </conditionalFormatting>
  <conditionalFormatting sqref="L9:L27">
    <cfRule type="containsText" dxfId="4" priority="2" operator="containsText" text="مستحق">
      <formula>NOT(ISERROR(SEARCH("مستحق",L9)))</formula>
    </cfRule>
  </conditionalFormatting>
  <conditionalFormatting sqref="L9:L27">
    <cfRule type="containsText" dxfId="3" priority="3" operator="containsText" text="قريب">
      <formula>NOT(ISERROR(SEARCH("قريب",L9)))</formula>
    </cfRule>
  </conditionalFormatting>
  <conditionalFormatting sqref="L9:L27">
    <cfRule type="containsText" dxfId="2" priority="4" operator="containsText" text="جار">
      <formula>NOT(ISERROR(SEARCH("جار",L9)))</formula>
    </cfRule>
  </conditionalFormatting>
  <conditionalFormatting sqref="L9:L27">
    <cfRule type="containsText" dxfId="1" priority="5" operator="containsText" text="بدون">
      <formula>NOT(ISERROR(SEARCH("بدون",L9)))</formula>
    </cfRule>
  </conditionalFormatting>
  <conditionalFormatting sqref="J9:J27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topLeftCell="A2" workbookViewId="0">
      <selection activeCell="A12" sqref="A12:XFD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78000506.734912291</v>
      </c>
      <c r="C2" s="70"/>
      <c r="I2" s="3" t="s">
        <v>51</v>
      </c>
      <c r="J2" s="69">
        <f>SUM(J4:J3000)-SUM(K4:K3000)</f>
        <v>-79715149.5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79715149.5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25277797.250000007</v>
      </c>
      <c r="C6" s="7">
        <v>0</v>
      </c>
    </row>
    <row r="7" spans="1:11" ht="18" customHeight="1" x14ac:dyDescent="0.35">
      <c r="A7" s="6" t="s">
        <v>11</v>
      </c>
      <c r="B7" s="7">
        <v>9125280</v>
      </c>
      <c r="C7" s="7">
        <v>0</v>
      </c>
    </row>
    <row r="8" spans="1:11" ht="18" customHeight="1" x14ac:dyDescent="0.35">
      <c r="A8" s="6" t="s">
        <v>47</v>
      </c>
      <c r="B8" s="7">
        <v>3440415.0000000005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ht="18" customHeight="1" x14ac:dyDescent="0.35">
      <c r="A12" s="6" t="s">
        <v>114</v>
      </c>
      <c r="B12" s="7">
        <v>6392265.0000000019</v>
      </c>
      <c r="C12" s="7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6</v>
      </c>
      <c r="C2" s="23">
        <v>12168456</v>
      </c>
      <c r="D2" s="24">
        <v>21.5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114</v>
      </c>
      <c r="B4" s="27">
        <v>1</v>
      </c>
      <c r="C4" s="28">
        <v>1396532.5</v>
      </c>
      <c r="D4" s="29">
        <v>2</v>
      </c>
    </row>
    <row r="5" spans="1:4" x14ac:dyDescent="0.3">
      <c r="A5" s="30" t="s">
        <v>8</v>
      </c>
      <c r="B5" s="27">
        <v>4</v>
      </c>
      <c r="C5" s="28">
        <v>9655901.5</v>
      </c>
      <c r="D5" s="29">
        <v>28</v>
      </c>
    </row>
    <row r="6" spans="1:4" x14ac:dyDescent="0.3">
      <c r="A6" s="31" t="s">
        <v>11</v>
      </c>
      <c r="B6" s="27">
        <v>1</v>
      </c>
      <c r="C6" s="28">
        <v>1116022</v>
      </c>
      <c r="D6" s="29">
        <v>15</v>
      </c>
    </row>
    <row r="7" spans="1:4" x14ac:dyDescent="0.3">
      <c r="A7" s="31"/>
      <c r="B7" s="27" t="s">
        <v>83</v>
      </c>
      <c r="C7" s="28" t="s">
        <v>83</v>
      </c>
      <c r="D7" s="29" t="s">
        <v>83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MMpP149EGd3AB7iS9mlB0fkk4xKmHKg5u3pvus9ZJAOGQtoY+9safl3PkAMQHKIoYzgdxaAy6wC7v47ZuM2GIQ==" saltValue="xYOO5OoDHZdCfB3upXxDUg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2026-10-07T12:56:43Z</dcterms:modified>
</cp:coreProperties>
</file>