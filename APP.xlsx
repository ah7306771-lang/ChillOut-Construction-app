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8B469665-D9CB-422E-AD98-80D13414B41D}" xr6:coauthVersionLast="47" xr6:coauthVersionMax="47" xr10:uidLastSave="{00000000-0000-0000-0000-000000000000}"/>
  <bookViews>
    <workbookView xWindow="-108" yWindow="-108" windowWidth="23256" windowHeight="1257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<sst xmlns="http://schemas.openxmlformats.org/spreadsheetml/2006/main" count="736" uniqueCount="148">
  <si>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</si>
  <si>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</si>
  <si>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</si>
  <si>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</si>
  <si>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</si>
  <si>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</si>
  <si>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</si>
  <si>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</si>
  <si>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</si>
  <si>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</si>
  <si>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</si>
  <si>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</si>
  <si>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</si>
  <si>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</si>
  <si>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</si>
  <si>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</si>
  <si>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</si>
  <si>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</si>
  <si>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</si>
  <si>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</si>
  <si>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</si>
  <si>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</si>
  <si>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</si>
  <si>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</si>
  <si>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</si>
  <si>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</si>
  <si>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</si>
  <si>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</si>
  <si>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</si>
  <si>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</si>
  <si>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</si>
  <si>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</si>
  <si>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</si>
  <si>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</si>
  <si>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</si>
  <si>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</si>
  <si>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</si>
  <si>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</si>
  <si>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</si>
  <si>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</si>
  <si>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</si>
  <si>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</si>
  <si>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</si>
  <si>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</si>
  <si>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</si>
  <si>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</si>
  <si>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</si>
  <si>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</si>
  <si>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</si>
  <si>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</si>
  <si>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</si>
  <si>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</si>
  <si>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</si>
  <si>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</si>
  <si>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</si>
  <si>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</si>
  <si>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</si>
  <si>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</si>
  <si>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</si>
  <si>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</si>
  <si>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</si>
  <si>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</si>
  <si>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</si>
  <si>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</si>
  <si>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</si>
  <si>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</si>
  <si>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</si>
  <si>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</si>
  <si>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</si>
  <si>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</si>
  <si>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</si>
  <si>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</si>
  <si>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</si>
  <si>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</si>
  <si>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</si>
  <si>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</si>
  <si>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</si>
  <si>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</si>
  <si>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</si>
  <si>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</si>
  <si>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</si>
  <si>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</si>
  <si>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</si>
  <si>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</si>
  <si>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</si>
  <si>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</si>
  <si>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</si>
  <si>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</si>
  <si>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</si>
  <si>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</si>
  <si>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</si>
  <si>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</si>
  <si>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</si>
  <si>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</si>
  <si>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</si>
  <si>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</si>
  <si>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</si>
  <si>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</si>
  <si>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</si>
  <si>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</si>
  <si>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</si>
  <si>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</si>
  <si>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</si>
  <si>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</si>
  <si>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</si>
  <si>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</si>
  <si>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</si>
  <si>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</si>
  <si>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</si>
  <si>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</si>
  <si>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</si>
  <si>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</si>
  <si>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</si>
  <si>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</si>
  <si>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</si>
  <si>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</si>
  <si>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</si>
  <si>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</si>
  <si>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</si>
  <si>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</si>
  <si>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</si>
  <si>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</si>
  <si>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</si>
  <si>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9 أيام</t>
  </si>
  <si>
    <t>🟢 جارٍ
28,042,623</t>
  </si>
  <si>
    <t>14 يوم</t>
  </si>
  <si>
    <t>10 أيام</t>
  </si>
  <si>
    <t>🔔 قريب</t>
  </si>
  <si>
    <t>⚠ باقي 28 يوم</t>
  </si>
  <si>
    <t>🔔 قريب الاستحقاق
4,995,733</t>
  </si>
  <si>
    <t>11 يوم</t>
  </si>
  <si>
    <t>يومان</t>
  </si>
  <si>
    <t>✅ مسدّد
194,049,435</t>
  </si>
  <si>
    <t>⚠ شيك متأخر 8 يوم</t>
  </si>
  <si>
    <t>⚠ شيك متأخر 3 يوم</t>
  </si>
  <si>
    <t>⚠ مستحق النهاردة</t>
  </si>
  <si>
    <t>⚠ باقي 2 يوم</t>
  </si>
  <si>
    <t>⚠ باقي 9 يوم</t>
  </si>
  <si>
    <t>⚠ باقي 25 يوم</t>
  </si>
  <si>
    <t>⚠ باقي 27 يوم</t>
  </si>
  <si>
    <t>⚠ باقي 31 يوم</t>
  </si>
  <si>
    <t>23 يوم</t>
  </si>
  <si>
    <t>18 يوم</t>
  </si>
  <si>
    <t>15 يوم</t>
  </si>
  <si>
    <t>12 يوم</t>
  </si>
  <si>
    <t>3 أيام</t>
  </si>
  <si>
    <t>🔔 متبقي 4 أيام</t>
  </si>
  <si>
    <t>⚠ متأخر
37,470,351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</si>
</sst>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28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19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49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13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1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147</v>
      </c>
      <c r="B2" s="77" t="s">
        <v>129</v>
      </c>
      <c r="C2" s="78"/>
      <c r="D2" s="37" t="s">
        <v>132</v>
      </c>
      <c r="E2" s="38" t="s">
        <v>124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217216244.42777777</v>
      </c>
      <c r="I3" s="61">
        <v>70508707.320029229</v>
      </c>
      <c r="J3" s="61">
        <v>37470351.435818709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141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15405748</v>
      </c>
      <c r="I6" s="55">
        <v>10866038.315789472</v>
      </c>
      <c r="J6" s="55">
        <v>10866038.315789472</v>
      </c>
      <c r="K6" s="57" t="s">
        <v>142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143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143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210429</v>
      </c>
      <c r="I9" s="55">
        <v>953637</v>
      </c>
      <c r="J9" s="55">
        <v>953637</v>
      </c>
      <c r="K9" s="57" t="s">
        <v>143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123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123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1655700</v>
      </c>
      <c r="I20" s="55">
        <v>632320</v>
      </c>
      <c r="J20" s="55">
        <v>632320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127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70337950.297807068</v>
      </c>
      <c r="C2" s="82"/>
      <c r="I2" s="3" t="s">
        <v>42</v>
      </c>
      <c r="J2" s="81">
        <f>SUM(J4:J3000)-SUM(K4:K3000)</f>
        <v>-81837275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41462280.282894775</v>
      </c>
      <c r="C6" s="7">
        <v>0</v>
      </c>
    </row>
    <row r="7" spans="1:11" ht="18" customHeight="1" x14ac:dyDescent="0.35">
      <c r="A7" s="6" t="s">
        <v>11</v>
      </c>
      <c r="B7" s="7">
        <v>18472298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37470351.435818709</v>
      </c>
      <c r="D2" s="24">
        <v>10.8125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17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14</v>
      </c>
    </row>
    <row r="6" spans="1:4" x14ac:dyDescent="0.3">
      <c r="A6" s="29" t="s">
        <v>8</v>
      </c>
      <c r="B6" s="26">
        <v>8</v>
      </c>
      <c r="C6" s="27">
        <v>29466515.935818713</v>
      </c>
      <c r="D6" s="28">
        <v>9.5</v>
      </c>
    </row>
    <row r="7" spans="1:4" x14ac:dyDescent="0.3">
      <c r="A7" s="29" t="s">
        <v>11</v>
      </c>
      <c r="B7" s="26">
        <v>5</v>
      </c>
      <c r="C7" s="27">
        <v>7958815</v>
      </c>
      <c r="D7" s="28">
        <v>9.8000000000029104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OAN45qXx7K4dkhqi3rx4hZWHo+3FiuplC+janMmWKSRXlGmmPsipLukHhyGLyQgAkYG/Wi0x2eCplxwCry6bEQ==" saltValue="ZJB3og9jNfIny7/BLt/ik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2026-10-28T08:40:39Z</dcterms:modified>
</cp:coreProperties>
</file>