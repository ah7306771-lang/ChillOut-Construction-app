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9A8BF2D0-5E93-48A3-95DA-130E86DC2CAE}" xr6:coauthVersionLast="47" xr6:coauthVersionMax="47" xr10:uidLastSave="{00000000-0000-0000-0000-000000000000}"/>
  <bookViews>
    <workbookView minimized="1" xWindow="372" yWindow="528" windowWidth="9096" windowHeight="12180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<sst xmlns="http://schemas.openxmlformats.org/spreadsheetml/2006/main" count="736" uniqueCount="148">
  <si>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</si>
  <si>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</si>
  <si>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</si>
  <si>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</si>
  <si>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</si>
  <si>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</si>
  <si>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</si>
  <si>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</si>
  <si>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</si>
  <si>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</si>
  <si>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</si>
  <si>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</si>
  <si>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</si>
  <si>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</si>
  <si>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</si>
  <si>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</si>
  <si>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</si>
  <si>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</si>
  <si>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</si>
  <si>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</si>
  <si>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</si>
  <si>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</si>
  <si>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</si>
  <si>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</si>
  <si>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</si>
  <si>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</si>
  <si>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</si>
  <si>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</si>
  <si>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</si>
  <si>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</si>
  <si>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</si>
  <si>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</si>
  <si>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</si>
  <si>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</si>
  <si>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</si>
  <si>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</si>
  <si>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</si>
  <si>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</si>
  <si>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</si>
  <si>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</si>
  <si>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</si>
  <si>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</si>
  <si>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</si>
  <si>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</si>
  <si>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</si>
  <si>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</si>
  <si>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</si>
  <si>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</si>
  <si>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</si>
  <si>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</si>
  <si>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</si>
  <si>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</si>
  <si>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</si>
  <si>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</si>
  <si>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</si>
  <si>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</si>
  <si>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</si>
  <si>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</si>
  <si>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</si>
  <si>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</si>
  <si>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</si>
  <si>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</si>
  <si>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</si>
  <si>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</si>
  <si>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</si>
  <si>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</si>
  <si>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</si>
  <si>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</si>
  <si>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</si>
  <si>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</si>
  <si>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</si>
  <si>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</si>
  <si>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</si>
  <si>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</si>
  <si>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</si>
  <si>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</si>
  <si>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</si>
  <si>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</si>
  <si>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</si>
  <si>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</si>
  <si>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</si>
  <si>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</si>
  <si>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</si>
  <si>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</si>
  <si>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</si>
  <si>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</si>
  <si>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</si>
  <si>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</si>
  <si>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</si>
  <si>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</si>
  <si>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</si>
  <si>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</si>
  <si>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</si>
  <si>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</si>
  <si>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</si>
  <si>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</si>
  <si>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</si>
  <si>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</si>
  <si>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</si>
  <si>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</si>
  <si>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</si>
  <si>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</si>
  <si>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</si>
  <si>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</si>
  <si>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</si>
  <si>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</si>
  <si>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</si>
  <si>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</si>
  <si>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</si>
  <si>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</si>
  <si>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</si>
  <si>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</si>
  <si>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</si>
  <si>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</si>
  <si>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</si>
  <si>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</si>
  <si>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</si>
  <si>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</si>
  <si>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</si>
  <si>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</si>
  <si>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</si>
  <si>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</si>
  <si>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</si>
  <si>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</si>
  <si>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10 أيام</t>
  </si>
  <si>
    <t>🔔 قريب الاستحقاق
4,995,733</t>
  </si>
  <si>
    <t>11 يوم</t>
  </si>
  <si>
    <t>✅ مسدّد
194,049,435</t>
  </si>
  <si>
    <t>⚠ باقي 27 يوم</t>
  </si>
  <si>
    <t>15 يوم</t>
  </si>
  <si>
    <t>12 يوم</t>
  </si>
  <si>
    <t>3 أيام</t>
  </si>
  <si>
    <t>⚠ متأخر
30,470,351</t>
  </si>
  <si>
    <t>⚠ شيك متأخر 9 يوم</t>
  </si>
  <si>
    <t>⚠ شيك متأخر 4 يوم</t>
  </si>
  <si>
    <t>⚠ شيك متأخر 1 يوم</t>
  </si>
  <si>
    <t>⚠ باقي 1 يوم</t>
  </si>
  <si>
    <t>⚠ باقي 8 يوم</t>
  </si>
  <si>
    <t>⚠ باقي 24 يوم</t>
  </si>
  <si>
    <t>⚠ باقي 26 يوم</t>
  </si>
  <si>
    <t>⚠ باقي 30 يوم</t>
  </si>
  <si>
    <t>24 يوم</t>
  </si>
  <si>
    <t>19 يوم</t>
  </si>
  <si>
    <t>16 يوم</t>
  </si>
  <si>
    <t>13 يوم</t>
  </si>
  <si>
    <t>4 أيام</t>
  </si>
  <si>
    <t>🔔 متبقي 3 أيام</t>
  </si>
  <si>
    <t>🔔 متبقي 7 أيام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</si>
</sst>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89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133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134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135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136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136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137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138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139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128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18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48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12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38500</v>
      </c>
      <c r="C279" s="32">
        <v>42500</v>
      </c>
      <c r="D279" s="31">
        <v>70</v>
      </c>
      <c r="F279" s="86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4050</v>
      </c>
      <c r="C285" s="32">
        <v>4200</v>
      </c>
      <c r="D285" s="31">
        <v>72</v>
      </c>
      <c r="F285" s="86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4050</v>
      </c>
      <c r="C286" s="32">
        <v>4200</v>
      </c>
      <c r="D286" s="31">
        <v>72</v>
      </c>
      <c r="F286" s="86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19" sqref="A19:L36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5" t="s">
        <v>88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28.8" customHeight="1" x14ac:dyDescent="0.3">
      <c r="A2" s="36" t="s">
        <v>132</v>
      </c>
      <c r="B2" s="77" t="s">
        <v>125</v>
      </c>
      <c r="C2" s="78"/>
      <c r="D2" s="37" t="s">
        <v>127</v>
      </c>
      <c r="E2" s="38" t="s">
        <v>123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224216244.42777777</v>
      </c>
      <c r="I3" s="61">
        <v>63508707.320029244</v>
      </c>
      <c r="J3" s="61">
        <v>30470351.435818713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141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142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143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143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143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129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144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124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124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145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145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145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1866129</v>
      </c>
      <c r="I20" s="55">
        <v>421891</v>
      </c>
      <c r="J20" s="55">
        <v>421891</v>
      </c>
      <c r="K20" s="57" t="s">
        <v>131</v>
      </c>
      <c r="L20" s="54" t="s">
        <v>107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146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147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8" priority="37" operator="containsText" text="✓">
      <formula>NOT(ISERROR(SEARCH("✓",F2)))</formula>
    </cfRule>
  </conditionalFormatting>
  <conditionalFormatting sqref="F2">
    <cfRule type="containsText" dxfId="37" priority="38" operator="containsText" text="✗">
      <formula>NOT(ISERROR(SEARCH("✗",F2)))</formula>
    </cfRule>
  </conditionalFormatting>
  <conditionalFormatting sqref="L5">
    <cfRule type="containsText" dxfId="36" priority="31" operator="containsText" text="مسدّد">
      <formula>NOT(ISERROR(SEARCH("مسدّد",L5)))</formula>
    </cfRule>
  </conditionalFormatting>
  <conditionalFormatting sqref="L5">
    <cfRule type="containsText" dxfId="35" priority="32" operator="containsText" text="مستحق">
      <formula>NOT(ISERROR(SEARCH("مستحق",L5)))</formula>
    </cfRule>
  </conditionalFormatting>
  <conditionalFormatting sqref="L5">
    <cfRule type="containsText" dxfId="34" priority="33" operator="containsText" text="قريب">
      <formula>NOT(ISERROR(SEARCH("قريب",L5)))</formula>
    </cfRule>
  </conditionalFormatting>
  <conditionalFormatting sqref="L5">
    <cfRule type="containsText" dxfId="33" priority="34" operator="containsText" text="جار">
      <formula>NOT(ISERROR(SEARCH("جار",L5)))</formula>
    </cfRule>
  </conditionalFormatting>
  <conditionalFormatting sqref="L5">
    <cfRule type="containsText" dxfId="32" priority="35" operator="containsText" text="بدون">
      <formula>NOT(ISERROR(SEARCH("بدون",L5)))</formula>
    </cfRule>
  </conditionalFormatting>
  <conditionalFormatting sqref="J5">
    <cfRule type="cellIs" dxfId="31" priority="36" operator="greaterThan">
      <formula>0</formula>
    </cfRule>
  </conditionalFormatting>
  <conditionalFormatting sqref="L6">
    <cfRule type="containsText" dxfId="30" priority="25" operator="containsText" text="مسدّد">
      <formula>NOT(ISERROR(SEARCH("مسدّد",L6)))</formula>
    </cfRule>
  </conditionalFormatting>
  <conditionalFormatting sqref="L6">
    <cfRule type="containsText" dxfId="29" priority="26" operator="containsText" text="مستحق">
      <formula>NOT(ISERROR(SEARCH("مستحق",L6)))</formula>
    </cfRule>
  </conditionalFormatting>
  <conditionalFormatting sqref="L6">
    <cfRule type="containsText" dxfId="28" priority="27" operator="containsText" text="قريب">
      <formula>NOT(ISERROR(SEARCH("قريب",L6)))</formula>
    </cfRule>
  </conditionalFormatting>
  <conditionalFormatting sqref="L6">
    <cfRule type="containsText" dxfId="27" priority="28" operator="containsText" text="جار">
      <formula>NOT(ISERROR(SEARCH("جار",L6)))</formula>
    </cfRule>
  </conditionalFormatting>
  <conditionalFormatting sqref="L6">
    <cfRule type="containsText" dxfId="26" priority="29" operator="containsText" text="بدون">
      <formula>NOT(ISERROR(SEARCH("بدون",L6)))</formula>
    </cfRule>
  </conditionalFormatting>
  <conditionalFormatting sqref="J6">
    <cfRule type="cellIs" dxfId="25" priority="30" operator="greaterThan">
      <formula>0</formula>
    </cfRule>
  </conditionalFormatting>
  <conditionalFormatting sqref="L7:L10">
    <cfRule type="containsText" dxfId="24" priority="19" operator="containsText" text="مسدّد">
      <formula>NOT(ISERROR(SEARCH("مسدّد",L7)))</formula>
    </cfRule>
  </conditionalFormatting>
  <conditionalFormatting sqref="L7:L10">
    <cfRule type="containsText" dxfId="23" priority="20" operator="containsText" text="مستحق">
      <formula>NOT(ISERROR(SEARCH("مستحق",L7)))</formula>
    </cfRule>
  </conditionalFormatting>
  <conditionalFormatting sqref="L7:L10">
    <cfRule type="containsText" dxfId="22" priority="21" operator="containsText" text="قريب">
      <formula>NOT(ISERROR(SEARCH("قريب",L7)))</formula>
    </cfRule>
  </conditionalFormatting>
  <conditionalFormatting sqref="L7:L10">
    <cfRule type="containsText" dxfId="21" priority="22" operator="containsText" text="جار">
      <formula>NOT(ISERROR(SEARCH("جار",L7)))</formula>
    </cfRule>
  </conditionalFormatting>
  <conditionalFormatting sqref="L7:L10">
    <cfRule type="containsText" dxfId="20" priority="23" operator="containsText" text="بدون">
      <formula>NOT(ISERROR(SEARCH("بدون",L7)))</formula>
    </cfRule>
  </conditionalFormatting>
  <conditionalFormatting sqref="J7:J10">
    <cfRule type="cellIs" dxfId="19" priority="24" operator="greaterThan">
      <formula>0</formula>
    </cfRule>
  </conditionalFormatting>
  <conditionalFormatting sqref="L11:L16">
    <cfRule type="containsText" dxfId="18" priority="13" operator="containsText" text="مسدّد">
      <formula>NOT(ISERROR(SEARCH("مسدّد",L11)))</formula>
    </cfRule>
  </conditionalFormatting>
  <conditionalFormatting sqref="L11:L16">
    <cfRule type="containsText" dxfId="17" priority="14" operator="containsText" text="مستحق">
      <formula>NOT(ISERROR(SEARCH("مستحق",L11)))</formula>
    </cfRule>
  </conditionalFormatting>
  <conditionalFormatting sqref="L11:L16">
    <cfRule type="containsText" dxfId="16" priority="15" operator="containsText" text="قريب">
      <formula>NOT(ISERROR(SEARCH("قريب",L11)))</formula>
    </cfRule>
  </conditionalFormatting>
  <conditionalFormatting sqref="L11:L16">
    <cfRule type="containsText" dxfId="15" priority="16" operator="containsText" text="جار">
      <formula>NOT(ISERROR(SEARCH("جار",L11)))</formula>
    </cfRule>
  </conditionalFormatting>
  <conditionalFormatting sqref="L11:L16">
    <cfRule type="containsText" dxfId="14" priority="17" operator="containsText" text="بدون">
      <formula>NOT(ISERROR(SEARCH("بدون",L11)))</formula>
    </cfRule>
  </conditionalFormatting>
  <conditionalFormatting sqref="J11:J16">
    <cfRule type="cellIs" dxfId="13" priority="18" operator="greaterThan">
      <formula>0</formula>
    </cfRule>
  </conditionalFormatting>
  <conditionalFormatting sqref="L17:L18">
    <cfRule type="containsText" dxfId="12" priority="7" operator="containsText" text="مسدّد">
      <formula>NOT(ISERROR(SEARCH("مسدّد",L17)))</formula>
    </cfRule>
  </conditionalFormatting>
  <conditionalFormatting sqref="L17:L18">
    <cfRule type="containsText" dxfId="11" priority="8" operator="containsText" text="مستحق">
      <formula>NOT(ISERROR(SEARCH("مستحق",L17)))</formula>
    </cfRule>
  </conditionalFormatting>
  <conditionalFormatting sqref="L17:L18">
    <cfRule type="containsText" dxfId="10" priority="9" operator="containsText" text="قريب">
      <formula>NOT(ISERROR(SEARCH("قريب",L17)))</formula>
    </cfRule>
  </conditionalFormatting>
  <conditionalFormatting sqref="L17:L18">
    <cfRule type="containsText" dxfId="9" priority="10" operator="containsText" text="جار">
      <formula>NOT(ISERROR(SEARCH("جار",L17)))</formula>
    </cfRule>
  </conditionalFormatting>
  <conditionalFormatting sqref="L17:L18">
    <cfRule type="containsText" dxfId="8" priority="11" operator="containsText" text="بدون">
      <formula>NOT(ISERROR(SEARCH("بدون",L17)))</formula>
    </cfRule>
  </conditionalFormatting>
  <conditionalFormatting sqref="J17:J18">
    <cfRule type="cellIs" dxfId="7" priority="12" operator="greaterThan">
      <formula>0</formula>
    </cfRule>
  </conditionalFormatting>
  <conditionalFormatting sqref="L19:L36">
    <cfRule type="containsText" dxfId="6" priority="1" operator="containsText" text="مسدّد">
      <formula>NOT(ISERROR(SEARCH("مسدّد",L19)))</formula>
    </cfRule>
  </conditionalFormatting>
  <conditionalFormatting sqref="L19:L36">
    <cfRule type="containsText" dxfId="5" priority="2" operator="containsText" text="مستحق">
      <formula>NOT(ISERROR(SEARCH("مستحق",L19)))</formula>
    </cfRule>
  </conditionalFormatting>
  <conditionalFormatting sqref="L19:L36">
    <cfRule type="containsText" dxfId="4" priority="3" operator="containsText" text="قريب">
      <formula>NOT(ISERROR(SEARCH("قريب",L19)))</formula>
    </cfRule>
  </conditionalFormatting>
  <conditionalFormatting sqref="L19:L36">
    <cfRule type="containsText" dxfId="3" priority="4" operator="containsText" text="جار">
      <formula>NOT(ISERROR(SEARCH("جار",L19)))</formula>
    </cfRule>
  </conditionalFormatting>
  <conditionalFormatting sqref="L19:L36">
    <cfRule type="containsText" dxfId="2" priority="5" operator="containsText" text="بدون">
      <formula>NOT(ISERROR(SEARCH("بدون",L19)))</formula>
    </cfRule>
  </conditionalFormatting>
  <conditionalFormatting sqref="J19:J36">
    <cfRule type="cellIs" dxfId="1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9" t="s">
        <v>40</v>
      </c>
      <c r="B1" s="80"/>
      <c r="C1" s="80"/>
      <c r="I1" s="83" t="s">
        <v>41</v>
      </c>
      <c r="J1" s="84"/>
      <c r="K1" s="84"/>
    </row>
    <row r="2" spans="1:11" ht="15.6" x14ac:dyDescent="0.3">
      <c r="A2" s="2" t="s">
        <v>42</v>
      </c>
      <c r="B2" s="81">
        <f>SUM(B4:B3000)-SUM(C4:C3000)</f>
        <v>62937950.297807068</v>
      </c>
      <c r="C2" s="82"/>
      <c r="I2" s="3" t="s">
        <v>42</v>
      </c>
      <c r="J2" s="81">
        <f>SUM(J4:J3000)-SUM(K4:K3000)</f>
        <v>-70822606</v>
      </c>
      <c r="K2" s="82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18072298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5" t="s">
        <v>69</v>
      </c>
      <c r="B1" s="85"/>
      <c r="C1" s="85"/>
      <c r="D1" s="85"/>
    </row>
    <row r="2" spans="1:4" x14ac:dyDescent="0.3">
      <c r="A2" s="21" t="s">
        <v>70</v>
      </c>
      <c r="B2" s="22">
        <v>16</v>
      </c>
      <c r="C2" s="23">
        <v>30070351.435818713</v>
      </c>
      <c r="D2" s="24">
        <v>11.8125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18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15</v>
      </c>
    </row>
    <row r="6" spans="1:4" x14ac:dyDescent="0.3">
      <c r="A6" s="29" t="s">
        <v>8</v>
      </c>
      <c r="B6" s="26">
        <v>8</v>
      </c>
      <c r="C6" s="27">
        <v>22466515.935818713</v>
      </c>
      <c r="D6" s="28">
        <v>10.5</v>
      </c>
    </row>
    <row r="7" spans="1:4" x14ac:dyDescent="0.3">
      <c r="A7" s="29" t="s">
        <v>11</v>
      </c>
      <c r="B7" s="26">
        <v>5</v>
      </c>
      <c r="C7" s="27">
        <v>7558815</v>
      </c>
      <c r="D7" s="28">
        <v>10.80000000000291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jjofUyZHPmErMYBlH1/rwbp11a2+l1NyBRaTAjJqHAsGoHnhJapY5lJ9CT0kTU5scoUruBiUFMawNDE1ELlWIA==" saltValue="Bicu3I9PhWN4tQgaRaqluQ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2026-10-29T09:01:17Z</dcterms:modified>
</cp:coreProperties>
</file>