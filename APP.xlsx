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B29A799-B77B-474C-8EAA-631F0318654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7" l="1"/>
  <c r="G3" i="7"/>
  <c r="J2" i="3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<sst xmlns="http://schemas.openxmlformats.org/spreadsheetml/2006/main" count="978" uniqueCount="151">
  <si>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</si>
  <si>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</si>
  <si>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</si>
  <si>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</si>
  <si>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</si>
  <si>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</si>
  <si>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</si>
  <si>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</si>
  <si>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</si>
  <si>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</si>
  <si>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</si>
  <si>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</si>
  <si>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</si>
  <si>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</si>
  <si>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</si>
  <si>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</si>
  <si>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</si>
  <si>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</si>
  <si>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</si>
  <si>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</si>
  <si>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</si>
  <si>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</si>
  <si>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</si>
  <si>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</si>
  <si>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</si>
  <si>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</si>
  <si>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</si>
  <si>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</si>
  <si>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</si>
  <si>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</si>
  <si>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</si>
  <si>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</si>
  <si>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</si>
  <si>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</si>
  <si>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</si>
  <si>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</si>
  <si>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</si>
  <si>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</si>
  <si>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</si>
  <si>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</si>
  <si>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</si>
  <si>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</si>
  <si>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</si>
  <si>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</si>
  <si>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</si>
  <si>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</si>
  <si>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</si>
  <si>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</si>
  <si>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</si>
  <si>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</si>
  <si>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</si>
  <si>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</si>
  <si>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</si>
  <si>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</si>
  <si>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</si>
  <si>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</si>
  <si>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</si>
  <si>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</si>
  <si>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</si>
  <si>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</si>
  <si>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</si>
  <si>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</si>
  <si>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</si>
  <si>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</si>
  <si>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</si>
  <si>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</si>
  <si>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</si>
  <si>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</si>
  <si>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</si>
  <si>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</si>
  <si>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</si>
  <si>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</si>
  <si>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</si>
  <si>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</si>
  <si>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</si>
  <si>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</si>
  <si>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</si>
  <si>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</si>
  <si>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</si>
  <si>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</si>
  <si>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</si>
  <si>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</si>
  <si>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</si>
  <si>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</si>
  <si>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</si>
  <si>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</si>
  <si>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</si>
  <si>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</si>
  <si>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</si>
  <si>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</si>
  <si>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</si>
  <si>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</si>
  <si>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</si>
  <si>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</si>
  <si>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</si>
  <si>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</si>
  <si>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</si>
  <si>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</si>
  <si>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</si>
  <si>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</si>
  <si>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</si>
  <si>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</si>
  <si>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</si>
  <si>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</si>
  <si>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</si>
  <si>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</si>
  <si>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</si>
  <si>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</si>
  <si>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</si>
  <si>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</si>
  <si>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</si>
  <si>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</si>
  <si>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</si>
  <si>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</si>
  <si>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</si>
  <si>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</si>
  <si>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</si>
  <si>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</si>
  <si>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</si>
  <si>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</si>
  <si>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</si>
  <si>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</si>
  <si>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</si>
  <si>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</si>
  <si>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</si>
  <si>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</si>
  <si>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</si>
  <si>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</si>
  <si>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</si>
  <si>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</si>
  <si>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</si>
  <si>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</si>
  <si>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</si>
  <si>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</si>
  <si>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</si>
  <si>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</si>
  <si>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</si>
  <si>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</si>
  <si>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</si>
  <si>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</si>
  <si>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</si>
  <si>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</si>
  <si>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</si>
  <si>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</si>
  <si>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</si>
  <si>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</si>
  <si>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</si>
  <si>
    <t>المورد</t>
  </si>
  <si>
    <t>حديد المصريين</t>
  </si>
  <si>
    <t>مصر</t>
  </si>
  <si>
    <t>أ.د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</si>
</sst>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20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20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20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20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20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20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20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20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20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20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20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20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20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20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20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20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tabSelected="1" workbookViewId="0">
      <selection activeCell="D5" sqref="D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147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148</v>
      </c>
      <c r="B3" s="19">
        <v>3333</v>
      </c>
      <c r="C3" s="19">
        <v>30000000</v>
      </c>
      <c r="D3" s="20">
        <v>46315</v>
      </c>
      <c r="E3" s="19" t="s">
        <v>149</v>
      </c>
      <c r="F3" s="19" t="s">
        <v>150</v>
      </c>
      <c r="G3" s="19" t="str">
        <f ca="1">IF(D3="","",IF(D3&lt;TODAY(),"⛔ متأخر "&amp;TODAY()-D3&amp;" يوم",IF(D3=TODAY(),"🔔 مستحق اليوم","⚠ باقي "&amp;D3-TODAY()&amp;" يوم")))</f>
        <v>⚠ باقي 3 يوم</v>
      </c>
      <c r="H3" s="19"/>
      <c r="I3" s="19"/>
    </row>
    <row r="4" spans="1:9" x14ac:dyDescent="0.3">
      <c r="A4" s="19" t="s">
        <v>148</v>
      </c>
      <c r="B4" s="19">
        <v>3333</v>
      </c>
      <c r="C4" s="19">
        <v>30000000</v>
      </c>
      <c r="D4" s="20">
        <v>46320</v>
      </c>
      <c r="E4" s="19" t="s">
        <v>149</v>
      </c>
      <c r="F4" s="19" t="s">
        <v>150</v>
      </c>
      <c r="G4" s="19" t="str">
        <f ca="1">IF(D4="","",IF(D4&lt;TODAY(),"⛔ متأخر "&amp;TODAY()-D4&amp;" يوم",IF(D4=TODAY(),"🔔 مستحق اليوم","⚠ باقي "&amp;D4-TODAY()&amp;" يوم")))</f>
        <v>⚠ باقي 8 يوم</v>
      </c>
      <c r="H4" s="19"/>
      <c r="I4" s="19"/>
    </row>
    <row r="5" spans="1:9" x14ac:dyDescent="0.3">
      <c r="A5" s="19"/>
      <c r="B5" s="19"/>
      <c r="C5" s="19"/>
      <c r="D5" s="20"/>
      <c r="E5" s="19"/>
      <c r="F5" s="19"/>
      <c r="G5" s="19"/>
      <c r="H5" s="19"/>
      <c r="I5" s="19"/>
    </row>
    <row r="6" spans="1:9" x14ac:dyDescent="0.3">
      <c r="A6" s="19"/>
      <c r="B6" s="19"/>
      <c r="C6" s="19"/>
      <c r="D6" s="20"/>
      <c r="E6" s="19"/>
      <c r="F6" s="19"/>
      <c r="G6" s="19"/>
      <c r="H6" s="19"/>
      <c r="I6" s="19"/>
    </row>
    <row r="7" spans="1:9" x14ac:dyDescent="0.3">
      <c r="A7" s="19"/>
      <c r="B7" s="19"/>
      <c r="C7" s="19"/>
      <c r="D7" s="20"/>
      <c r="E7" s="19"/>
      <c r="F7" s="19"/>
      <c r="G7" s="19"/>
      <c r="H7" s="19"/>
      <c r="I7" s="19"/>
    </row>
    <row r="8" spans="1:9" x14ac:dyDescent="0.3">
      <c r="A8" s="19"/>
      <c r="B8" s="19"/>
      <c r="C8" s="19"/>
      <c r="D8" s="20"/>
      <c r="E8" s="19"/>
      <c r="F8" s="19"/>
      <c r="G8" s="19"/>
      <c r="H8" s="19"/>
      <c r="I8" s="19"/>
    </row>
    <row r="9" spans="1:9" x14ac:dyDescent="0.3">
      <c r="A9" s="19"/>
      <c r="B9" s="19"/>
      <c r="C9" s="19"/>
      <c r="D9" s="20"/>
      <c r="E9" s="19"/>
      <c r="F9" s="19"/>
      <c r="G9" s="19"/>
      <c r="H9" s="19"/>
      <c r="I9" s="19"/>
    </row>
    <row r="10" spans="1:9" x14ac:dyDescent="0.3">
      <c r="A10" s="19"/>
      <c r="B10" s="19"/>
      <c r="C10" s="19"/>
      <c r="D10" s="20"/>
      <c r="E10" s="19"/>
      <c r="F10" s="19"/>
      <c r="G10" s="19"/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20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20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20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20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20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20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20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20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20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20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20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20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20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20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20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20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20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20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20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20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20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5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5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5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5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5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5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5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5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5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5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5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20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20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20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20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20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20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20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20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20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20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20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20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20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20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20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20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20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20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20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20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20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20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20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20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20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20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20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20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20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20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20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20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20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20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20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20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20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20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20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20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20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20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20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20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20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20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20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20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20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20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20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20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20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20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20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20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20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20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20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20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20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20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20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20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20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20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20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20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20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20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20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20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20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20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20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20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20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20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20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20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20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20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20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20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20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20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20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20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20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20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20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20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20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20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20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20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20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20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20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20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20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20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20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20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20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20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20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20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20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20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20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20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20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20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20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20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20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20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20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20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20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20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20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20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20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20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20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20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20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20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20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20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20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20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20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20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20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20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20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20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20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20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20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20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20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20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20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20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20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20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20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20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20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20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20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20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20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20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20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20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20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20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20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20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20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20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20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20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20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20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20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20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20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20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20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20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20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20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20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20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20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20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20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20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20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20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20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20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20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20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20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20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20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20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20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20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20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20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20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20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20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20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20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20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20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20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20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20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20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20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20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20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20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20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20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20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20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20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20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20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20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20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20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20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20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20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20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20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20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20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20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20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20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20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20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20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20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20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20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20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20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20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20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20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20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20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20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20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20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20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20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20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20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20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20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20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6" t="s">
        <v>98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 ht="31.8" customHeight="1" x14ac:dyDescent="0.3">
      <c r="A2" s="36" t="s">
        <v>144</v>
      </c>
      <c r="B2" s="68" t="s">
        <v>138</v>
      </c>
      <c r="C2" s="69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8" priority="13" operator="containsText" text="✓">
      <formula>NOT(ISERROR(SEARCH("✓",F2)))</formula>
    </cfRule>
    <cfRule type="containsText" dxfId="7" priority="14" operator="containsText" text="✗">
      <formula>NOT(ISERROR(SEARCH("✗",F2)))</formula>
    </cfRule>
  </conditionalFormatting>
  <conditionalFormatting sqref="J5:J36">
    <cfRule type="cellIs" dxfId="6" priority="6" operator="greaterThan">
      <formula>0</formula>
    </cfRule>
  </conditionalFormatting>
  <conditionalFormatting sqref="L5:L36">
    <cfRule type="containsText" dxfId="5" priority="1" operator="containsText" text="مسدّد">
      <formula>NOT(ISERROR(SEARCH("مسدّد",L5)))</formula>
    </cfRule>
    <cfRule type="containsText" dxfId="4" priority="2" operator="containsText" text="مستحق">
      <formula>NOT(ISERROR(SEARCH("مستحق",L5)))</formula>
    </cfRule>
    <cfRule type="containsText" dxfId="3" priority="3" operator="containsText" text="قريب">
      <formula>NOT(ISERROR(SEARCH("قريب",L5)))</formula>
    </cfRule>
    <cfRule type="containsText" dxfId="2" priority="4" operator="containsText" text="جار">
      <formula>NOT(ISERROR(SEARCH("جار",L5)))</formula>
    </cfRule>
    <cfRule type="containsText" dxfId="1" priority="5" operator="containsText" text="بدون">
      <formula>NOT(ISERROR(SEARCH("بدون",L5)))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0" t="s">
        <v>49</v>
      </c>
      <c r="B1" s="71"/>
      <c r="C1" s="71"/>
      <c r="I1" s="74" t="s">
        <v>50</v>
      </c>
      <c r="J1" s="75"/>
      <c r="K1" s="75"/>
    </row>
    <row r="2" spans="1:11" ht="15.6" x14ac:dyDescent="0.3">
      <c r="A2" s="2" t="s">
        <v>51</v>
      </c>
      <c r="B2" s="72">
        <f>SUM(B4:B3000)-SUM(C4:C3000)</f>
        <v>112520888.97833338</v>
      </c>
      <c r="C2" s="73"/>
      <c r="I2" s="3" t="s">
        <v>51</v>
      </c>
      <c r="J2" s="72">
        <f>SUM(J4:J3000)-SUM(K4:K3000)</f>
        <v>-102403148.5</v>
      </c>
      <c r="K2" s="73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6" t="s">
        <v>78</v>
      </c>
      <c r="B1" s="76"/>
      <c r="C1" s="76"/>
      <c r="D1" s="76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2026-10-17T11:31:41Z</dcterms:modified>
</cp:coreProperties>
</file>