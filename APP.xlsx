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2576" tabRatio="600" firstSheet="1" activeTab="4" autoFilterDateGrouping="1"/>
  </bookViews>
  <sheets>
    <sheet xmlns:r="http://schemas.openxmlformats.org/officeDocument/2006/relationships" name="الشيكات" sheetId="1" state="visible" r:id="rId1"/>
    <sheet xmlns:r="http://schemas.openxmlformats.org/officeDocument/2006/relationships" name="اخر سعر شراء  وبيع" sheetId="2" state="visible" r:id="rId2"/>
    <sheet xmlns:r="http://schemas.openxmlformats.org/officeDocument/2006/relationships" name="العملاء والموردين" sheetId="3" state="visible" r:id="rId3"/>
    <sheet xmlns:r="http://schemas.openxmlformats.org/officeDocument/2006/relationships" name="الرواتب" sheetId="4" state="visible" r:id="rId4"/>
    <sheet xmlns:r="http://schemas.openxmlformats.org/officeDocument/2006/relationships" name="اجمالي متأخرات" sheetId="5" state="visible" r:id="rId5"/>
  </sheets>
  <definedNames/>
  <calcPr calcId="191029" calcMode="manual" fullCalcOnLoad="1"/>
</workbook>
</file>

<file path=xl/styles.xml><?xml version="1.0" encoding="utf-8"?>
<styleSheet xmlns="http://schemas.openxmlformats.org/spreadsheetml/2006/main">
  <numFmts count="5">
    <numFmt numFmtId="164" formatCode="#,##0;;\-"/>
    <numFmt numFmtId="165" formatCode="#,##0;\(#,##0\);\-"/>
    <numFmt numFmtId="166" formatCode="#,##0.0&quot; يوم&quot;;;\-"/>
    <numFmt numFmtId="167" formatCode="dd/mm/yyyy"/>
    <numFmt numFmtId="168" formatCode="DD/MM/YYYY"/>
  </numFmts>
  <fonts count="12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b val="1"/>
      <color theme="1"/>
      <sz val="14"/>
      <scheme val="minor"/>
    </font>
    <font>
      <name val="Calibri"/>
      <family val="2"/>
      <b val="1"/>
      <color theme="1"/>
      <sz val="13"/>
    </font>
    <font>
      <name val="Arial"/>
      <family val="2"/>
      <b val="1"/>
      <color theme="1"/>
      <sz val="11"/>
    </font>
    <font>
      <name val="Arial"/>
      <family val="2"/>
      <color theme="1"/>
      <sz val="10"/>
    </font>
    <font>
      <name val="Arial"/>
      <family val="2"/>
      <b val="1"/>
      <color theme="1"/>
      <sz val="10"/>
    </font>
    <font>
      <name val="Calibri"/>
      <charset val="1"/>
      <family val="2"/>
      <b val="1"/>
      <color rgb="FFFFFFFF"/>
      <sz val="16"/>
    </font>
    <font>
      <name val="Calibri"/>
      <charset val="1"/>
      <family val="2"/>
      <b val="1"/>
      <color rgb="FF9C0006"/>
      <sz val="11"/>
    </font>
    <font>
      <name val="Calibri"/>
      <charset val="1"/>
      <family val="2"/>
      <b val="1"/>
      <color theme="1"/>
      <sz val="11"/>
    </font>
    <font>
      <name val="Calibri"/>
      <charset val="1"/>
      <family val="2"/>
      <b val="1"/>
      <color rgb="FFFFFFFF"/>
      <sz val="11"/>
    </font>
    <font>
      <name val="Calibri"/>
      <charset val="1"/>
      <family val="2"/>
      <color rgb="FF9C0006"/>
      <sz val="11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FFC7CE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thin">
        <color rgb="FF9C0006"/>
      </left>
      <right style="thin">
        <color rgb="FF9C0006"/>
      </right>
      <top style="thin">
        <color rgb="FF9C0006"/>
      </top>
      <bottom style="thin">
        <color rgb="FF9C0006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43">
    <xf numFmtId="0" fontId="0" fillId="0" borderId="0" pivotButton="0" quotePrefix="0" xfId="0"/>
    <xf numFmtId="14" fontId="0" fillId="0" borderId="0" pivotButton="0" quotePrefix="0" xfId="0"/>
    <xf numFmtId="4" fontId="1" fillId="0" borderId="0" pivotButton="0" quotePrefix="0" xfId="0"/>
    <xf numFmtId="4" fontId="1" fillId="0" borderId="0" applyAlignment="1" pivotButton="0" quotePrefix="0" xfId="0">
      <alignment horizontal="center"/>
    </xf>
    <xf numFmtId="0" fontId="2" fillId="2" borderId="1" applyAlignment="1" pivotButton="0" quotePrefix="0" xfId="0">
      <alignment horizontal="center"/>
    </xf>
    <xf numFmtId="4" fontId="2" fillId="2" borderId="1" applyAlignment="1" pivotButton="0" quotePrefix="0" xfId="0">
      <alignment horizontal="center"/>
    </xf>
    <xf numFmtId="0" fontId="2" fillId="0" borderId="1" pivotButton="0" quotePrefix="0" xfId="0"/>
    <xf numFmtId="4" fontId="2" fillId="0" borderId="1" pivotButton="0" quotePrefix="0" xfId="0"/>
    <xf numFmtId="4" fontId="0" fillId="0" borderId="0" pivotButton="0" quotePrefix="0" xfId="0"/>
    <xf numFmtId="0" fontId="3" fillId="4" borderId="2" applyAlignment="1" pivotButton="0" quotePrefix="0" xfId="0">
      <alignment horizontal="center" wrapText="1" readingOrder="2"/>
    </xf>
    <xf numFmtId="0" fontId="3" fillId="4" borderId="3" applyAlignment="1" pivotButton="0" quotePrefix="0" xfId="0">
      <alignment horizontal="center" wrapText="1" readingOrder="2"/>
    </xf>
    <xf numFmtId="0" fontId="3" fillId="5" borderId="3" applyAlignment="1" pivotButton="0" quotePrefix="0" xfId="0">
      <alignment horizontal="center" wrapText="1" readingOrder="2"/>
    </xf>
    <xf numFmtId="0" fontId="3" fillId="6" borderId="3" applyAlignment="1" pivotButton="0" quotePrefix="0" xfId="0">
      <alignment horizontal="center" wrapText="1" readingOrder="2"/>
    </xf>
    <xf numFmtId="0" fontId="4" fillId="0" borderId="4" applyAlignment="1" pivotButton="0" quotePrefix="0" xfId="0">
      <alignment horizontal="center" wrapText="1" readingOrder="2"/>
    </xf>
    <xf numFmtId="0" fontId="5" fillId="0" borderId="5" applyAlignment="1" pivotButton="0" quotePrefix="0" xfId="0">
      <alignment wrapText="1" readingOrder="2"/>
    </xf>
    <xf numFmtId="0" fontId="6" fillId="0" borderId="5" applyAlignment="1" pivotButton="0" quotePrefix="0" xfId="0">
      <alignment horizontal="center" wrapText="1" readingOrder="2"/>
    </xf>
    <xf numFmtId="0" fontId="5" fillId="0" borderId="4" applyAlignment="1" pivotButton="0" quotePrefix="0" xfId="0">
      <alignment wrapText="1" readingOrder="2"/>
    </xf>
    <xf numFmtId="0" fontId="1" fillId="2" borderId="1" applyAlignment="1" pivotButton="0" quotePrefix="0" xfId="0">
      <alignment horizontal="center" vertical="center"/>
    </xf>
    <xf numFmtId="14" fontId="1" fillId="2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14" fontId="1" fillId="0" borderId="1" applyAlignment="1" pivotButton="0" quotePrefix="0" xfId="0">
      <alignment horizontal="center" vertical="center"/>
    </xf>
    <xf numFmtId="0" fontId="8" fillId="8" borderId="6" applyAlignment="1" pivotButton="0" quotePrefix="0" xfId="0">
      <alignment horizontal="center"/>
    </xf>
    <xf numFmtId="164" fontId="9" fillId="8" borderId="6" applyAlignment="1" pivotButton="0" quotePrefix="0" xfId="0">
      <alignment horizontal="center"/>
    </xf>
    <xf numFmtId="165" fontId="8" fillId="8" borderId="6" applyAlignment="1" pivotButton="0" quotePrefix="0" xfId="0">
      <alignment horizontal="center"/>
    </xf>
    <xf numFmtId="166" fontId="9" fillId="8" borderId="6" applyAlignment="1" pivotButton="0" quotePrefix="0" xfId="0">
      <alignment horizontal="center"/>
    </xf>
    <xf numFmtId="0" fontId="10" fillId="7" borderId="7" applyAlignment="1" pivotButton="0" quotePrefix="0" xfId="0">
      <alignment horizontal="center"/>
    </xf>
    <xf numFmtId="0" fontId="9" fillId="0" borderId="8" applyAlignment="1" pivotButton="0" quotePrefix="0" xfId="0">
      <alignment horizontal="center"/>
    </xf>
    <xf numFmtId="164" fontId="0" fillId="0" borderId="8" applyAlignment="1" pivotButton="0" quotePrefix="0" xfId="0">
      <alignment horizontal="center"/>
    </xf>
    <xf numFmtId="165" fontId="11" fillId="0" borderId="8" applyAlignment="1" pivotButton="0" quotePrefix="0" xfId="0">
      <alignment horizontal="center"/>
    </xf>
    <xf numFmtId="166" fontId="0" fillId="0" borderId="8" applyAlignment="1" pivotButton="0" quotePrefix="0" xfId="0">
      <alignment horizontal="center"/>
    </xf>
    <xf numFmtId="0" fontId="0" fillId="0" borderId="8" applyAlignment="1" pivotButton="0" quotePrefix="0" xfId="0">
      <alignment horizontal="center"/>
    </xf>
    <xf numFmtId="0" fontId="0" fillId="0" borderId="8" pivotButton="0" quotePrefix="0" xfId="0"/>
    <xf numFmtId="0" fontId="1" fillId="0" borderId="0" applyAlignment="1" pivotButton="0" quotePrefix="0" xfId="0">
      <alignment horizontal="center" vertical="center"/>
    </xf>
    <xf numFmtId="4" fontId="1" fillId="0" borderId="1" applyAlignment="1" pivotButton="0" quotePrefix="0" xfId="0">
      <alignment horizontal="center" vertical="center"/>
    </xf>
    <xf numFmtId="4" fontId="1" fillId="0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4" fontId="1" fillId="3" borderId="1" applyAlignment="1" pivotButton="0" quotePrefix="0" xfId="0">
      <alignment horizontal="center"/>
    </xf>
    <xf numFmtId="0" fontId="0" fillId="0" borderId="9" pivotButton="0" quotePrefix="0" xfId="0"/>
    <xf numFmtId="167" fontId="1" fillId="0" borderId="1" applyAlignment="1" pivotButton="0" quotePrefix="0" xfId="0">
      <alignment horizontal="center" vertical="center"/>
    </xf>
    <xf numFmtId="168" fontId="1" fillId="0" borderId="1" applyAlignment="1" pivotButton="0" quotePrefix="0" xfId="0">
      <alignment horizontal="center" vertical="center"/>
    </xf>
    <xf numFmtId="168" fontId="0" fillId="0" borderId="0" pivotButton="0" quotePrefix="0" xfId="0"/>
  </cellXfs>
  <cellStyles count="1">
    <cellStyle name="Normal" xfId="0" builtinId="0"/>
  </cellStyles>
  <dxfs count="3">
    <dxf>
      <fill>
        <patternFill patternType="solid">
          <fgColor indexed="64"/>
          <bgColor rgb="FFF2F5FA"/>
        </patternFill>
      </fill>
    </dxf>
    <dxf>
      <fill>
        <patternFill patternType="solid">
          <fgColor indexed="64"/>
          <bgColor rgb="FFF2F5FA"/>
        </patternFill>
      </fill>
    </dxf>
    <dxf>
      <fill>
        <patternFill patternType="solid">
          <fgColor indexed="64"/>
          <bgColor rgb="FFF2F5FA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2:I19"/>
  <sheetViews>
    <sheetView rightToLeft="1" workbookViewId="0">
      <selection activeCell="G5" sqref="G5"/>
    </sheetView>
  </sheetViews>
  <sheetFormatPr baseColWidth="8" defaultRowHeight="14.4"/>
  <cols>
    <col width="11.21875" bestFit="1" customWidth="1" style="37" min="1" max="1"/>
    <col width="12.5546875" customWidth="1" style="37" min="2" max="2"/>
    <col width="11" bestFit="1" customWidth="1" style="37" min="3" max="3"/>
    <col width="14.6640625" customWidth="1" style="1" min="4" max="4"/>
    <col width="7.21875" bestFit="1" customWidth="1" style="37" min="5" max="5"/>
    <col width="5.6640625" customWidth="1" style="37" min="6" max="6"/>
    <col width="16.5546875" bestFit="1" customWidth="1" style="37" min="7" max="7"/>
    <col width="16.88671875" bestFit="1" customWidth="1" style="37" min="8" max="8"/>
  </cols>
  <sheetData>
    <row r="2">
      <c r="A2" s="17" t="inlineStr">
        <is>
          <t>العميل</t>
        </is>
      </c>
      <c r="B2" s="17" t="inlineStr">
        <is>
          <t>الرقم</t>
        </is>
      </c>
      <c r="C2" s="17" t="inlineStr">
        <is>
          <t>القيمه</t>
        </is>
      </c>
      <c r="D2" s="18" t="inlineStr">
        <is>
          <t>تاريخ الاستحقاق</t>
        </is>
      </c>
      <c r="E2" s="17" t="inlineStr">
        <is>
          <t>البنك</t>
        </is>
      </c>
      <c r="F2" s="17" t="inlineStr">
        <is>
          <t>النوع</t>
        </is>
      </c>
      <c r="G2" s="17" t="inlineStr">
        <is>
          <t>الحاله</t>
        </is>
      </c>
      <c r="H2" s="17" t="inlineStr">
        <is>
          <t>ملاحظات</t>
        </is>
      </c>
      <c r="I2" s="17" t="n"/>
    </row>
    <row r="3">
      <c r="A3" s="19" t="inlineStr">
        <is>
          <t>فالتور</t>
        </is>
      </c>
      <c r="B3" s="19" t="n">
        <v>307385</v>
      </c>
      <c r="C3" s="19" t="n">
        <v>2388000</v>
      </c>
      <c r="D3" s="40" t="n">
        <v>46254</v>
      </c>
      <c r="E3" s="19" t="inlineStr">
        <is>
          <t>NBE</t>
        </is>
      </c>
      <c r="F3" s="19" t="inlineStr">
        <is>
          <t>أ.ق</t>
        </is>
      </c>
      <c r="G3" s="19" t="inlineStr">
        <is>
          <t>⚠ شيك متأخر 31 يوم</t>
        </is>
      </c>
      <c r="H3" s="19" t="inlineStr">
        <is>
          <t>متبقي منه 380021</t>
        </is>
      </c>
      <c r="I3" s="19" t="n"/>
    </row>
    <row r="4">
      <c r="A4" s="19" t="inlineStr">
        <is>
          <t>ويكادي</t>
        </is>
      </c>
      <c r="B4" s="19" t="n">
        <v>554541873</v>
      </c>
      <c r="C4" s="19" t="n">
        <v>1556850</v>
      </c>
      <c r="D4" s="40" t="n">
        <v>46282</v>
      </c>
      <c r="E4" s="19" t="inlineStr">
        <is>
          <t>CIB</t>
        </is>
      </c>
      <c r="F4" s="19" t="inlineStr">
        <is>
          <t>أ.ق</t>
        </is>
      </c>
      <c r="G4" s="19" t="inlineStr">
        <is>
          <t>⚠ شيك متأخر 3 يوم</t>
        </is>
      </c>
      <c r="H4" s="19" t="n"/>
      <c r="I4" s="19" t="n"/>
    </row>
    <row r="5">
      <c r="A5" s="19" t="inlineStr">
        <is>
          <t>فالتور</t>
        </is>
      </c>
      <c r="B5" s="19" t="n">
        <v>307379</v>
      </c>
      <c r="C5" s="19" t="n">
        <v>2388000</v>
      </c>
      <c r="D5" s="40" t="n">
        <v>46285</v>
      </c>
      <c r="E5" s="19" t="inlineStr">
        <is>
          <t>NBE</t>
        </is>
      </c>
      <c r="F5" s="19" t="inlineStr">
        <is>
          <t>أ.ق</t>
        </is>
      </c>
      <c r="G5" s="19" t="inlineStr">
        <is>
          <t>⚠ مستحق النهاردة</t>
        </is>
      </c>
      <c r="H5" s="19" t="n"/>
      <c r="I5" s="19" t="n"/>
    </row>
    <row r="6">
      <c r="A6" s="19" t="inlineStr">
        <is>
          <t>فالتور</t>
        </is>
      </c>
      <c r="B6" s="19" t="n">
        <v>307383</v>
      </c>
      <c r="C6" s="19" t="n">
        <v>13300000</v>
      </c>
      <c r="D6" s="40" t="n">
        <v>46291</v>
      </c>
      <c r="E6" s="19" t="inlineStr">
        <is>
          <t>NBE</t>
        </is>
      </c>
      <c r="F6" s="19" t="inlineStr">
        <is>
          <t>أ.ق</t>
        </is>
      </c>
      <c r="G6" s="19" t="inlineStr">
        <is>
          <t>⚠ باقي 6 يوم</t>
        </is>
      </c>
      <c r="H6" s="19" t="n"/>
      <c r="I6" s="19" t="n"/>
    </row>
    <row r="7">
      <c r="A7" s="19" t="inlineStr">
        <is>
          <t>خالد صبري</t>
        </is>
      </c>
      <c r="B7" s="19" t="n">
        <v>532937070</v>
      </c>
      <c r="C7" s="19" t="n">
        <v>3971430</v>
      </c>
      <c r="D7" s="40" t="n">
        <v>46294</v>
      </c>
      <c r="E7" s="19" t="inlineStr">
        <is>
          <t>CIB</t>
        </is>
      </c>
      <c r="F7" s="19" t="inlineStr">
        <is>
          <t>أ.ق</t>
        </is>
      </c>
      <c r="G7" s="19" t="inlineStr">
        <is>
          <t>⚠ باقي 9 يوم</t>
        </is>
      </c>
      <c r="H7" s="19" t="n"/>
      <c r="I7" s="19" t="n"/>
    </row>
    <row r="8">
      <c r="A8" s="19" t="inlineStr">
        <is>
          <t>فالتور</t>
        </is>
      </c>
      <c r="B8" s="19" t="n">
        <v>307380</v>
      </c>
      <c r="C8" s="19" t="n">
        <v>7857894</v>
      </c>
      <c r="D8" s="40" t="n">
        <v>46301</v>
      </c>
      <c r="E8" s="19" t="inlineStr">
        <is>
          <t>NBE</t>
        </is>
      </c>
      <c r="F8" s="19" t="inlineStr">
        <is>
          <t>أ.ق</t>
        </is>
      </c>
      <c r="G8" s="19" t="inlineStr">
        <is>
          <t>⚠ باقي 16 يوم</t>
        </is>
      </c>
      <c r="H8" s="19" t="n"/>
      <c r="I8" s="19" t="n"/>
    </row>
    <row r="9">
      <c r="A9" s="19" t="inlineStr">
        <is>
          <t>خالد صبري</t>
        </is>
      </c>
      <c r="B9" s="19" t="n">
        <v>532937100</v>
      </c>
      <c r="C9" s="19" t="n">
        <v>5043144</v>
      </c>
      <c r="D9" s="40" t="n">
        <v>46305</v>
      </c>
      <c r="E9" s="19" t="inlineStr">
        <is>
          <t>CIB</t>
        </is>
      </c>
      <c r="F9" s="19" t="inlineStr">
        <is>
          <t>أ.ق</t>
        </is>
      </c>
      <c r="G9" s="19" t="inlineStr">
        <is>
          <t>⚠ باقي 20 يوم</t>
        </is>
      </c>
      <c r="H9" s="19" t="n"/>
      <c r="I9" s="19" t="n"/>
    </row>
    <row r="10">
      <c r="A10" s="19" t="inlineStr">
        <is>
          <t>خالد صبري</t>
        </is>
      </c>
      <c r="B10" s="19" t="n">
        <v>9165752</v>
      </c>
      <c r="C10" s="19" t="n">
        <v>3979312.84</v>
      </c>
      <c r="D10" s="40" t="n">
        <v>46312</v>
      </c>
      <c r="E10" s="19" t="inlineStr">
        <is>
          <t>BM</t>
        </is>
      </c>
      <c r="F10" s="19" t="inlineStr">
        <is>
          <t>أ.ق</t>
        </is>
      </c>
      <c r="G10" s="19" t="inlineStr">
        <is>
          <t>⚠ باقي 27 يوم</t>
        </is>
      </c>
      <c r="H10" s="19" t="n"/>
      <c r="I10" s="19" t="n"/>
    </row>
    <row r="11">
      <c r="A11" s="19" t="inlineStr">
        <is>
          <t>فالتور</t>
        </is>
      </c>
      <c r="B11" s="19" t="n">
        <v>307381</v>
      </c>
      <c r="C11" s="19" t="n">
        <v>2388000</v>
      </c>
      <c r="D11" s="40" t="n">
        <v>46315</v>
      </c>
      <c r="E11" s="19" t="inlineStr">
        <is>
          <t>NBE</t>
        </is>
      </c>
      <c r="F11" s="19" t="inlineStr">
        <is>
          <t>أ.ق</t>
        </is>
      </c>
      <c r="G11" s="19" t="inlineStr">
        <is>
          <t>⚠ باقي 30 يوم</t>
        </is>
      </c>
      <c r="H11" s="19" t="n"/>
      <c r="I11" s="19" t="n"/>
    </row>
    <row r="12">
      <c r="A12" s="19" t="inlineStr">
        <is>
          <t>الشركة المتحده</t>
        </is>
      </c>
      <c r="B12" s="19" t="n">
        <v>2798976</v>
      </c>
      <c r="C12" s="19" t="n">
        <v>17745354</v>
      </c>
      <c r="D12" s="40" t="n">
        <v>46317</v>
      </c>
      <c r="E12" s="19" t="inlineStr">
        <is>
          <t>aib</t>
        </is>
      </c>
      <c r="F12" s="19" t="inlineStr">
        <is>
          <t>أ.ق</t>
        </is>
      </c>
      <c r="G12" s="19" t="inlineStr">
        <is>
          <t>⚠ باقي 32 يوم</t>
        </is>
      </c>
      <c r="H12" s="19" t="n"/>
      <c r="I12" s="19" t="n"/>
    </row>
    <row r="13">
      <c r="A13" s="19" t="inlineStr">
        <is>
          <t>فالتور</t>
        </is>
      </c>
      <c r="B13" s="19" t="n">
        <v>307384</v>
      </c>
      <c r="C13" s="19" t="n">
        <v>13300000</v>
      </c>
      <c r="D13" s="40" t="n">
        <v>46321</v>
      </c>
      <c r="E13" s="19" t="inlineStr">
        <is>
          <t>NBE</t>
        </is>
      </c>
      <c r="F13" s="19" t="inlineStr">
        <is>
          <t>أ.ق</t>
        </is>
      </c>
      <c r="G13" s="19" t="inlineStr">
        <is>
          <t>⚠ باقي 36 يوم</t>
        </is>
      </c>
      <c r="H13" s="19" t="n"/>
      <c r="I13" s="19" t="n"/>
    </row>
    <row r="14">
      <c r="A14" s="19" t="inlineStr">
        <is>
          <t>سامكريت مصر</t>
        </is>
      </c>
      <c r="B14" s="19" t="n">
        <v>13249953</v>
      </c>
      <c r="C14" s="19" t="n">
        <v>7167694.63</v>
      </c>
      <c r="D14" s="40" t="n">
        <v>46321</v>
      </c>
      <c r="E14" s="19" t="inlineStr">
        <is>
          <t>NBE</t>
        </is>
      </c>
      <c r="F14" s="19" t="inlineStr">
        <is>
          <t>أ.ق</t>
        </is>
      </c>
      <c r="G14" s="19" t="inlineStr">
        <is>
          <t>⚠ باقي 36 يوم</t>
        </is>
      </c>
      <c r="H14" s="19" t="n"/>
      <c r="I14" s="19" t="n"/>
    </row>
    <row r="15">
      <c r="A15" s="19" t="n"/>
      <c r="B15" s="19" t="n"/>
      <c r="C15" s="19" t="n"/>
      <c r="D15" s="20" t="n"/>
      <c r="E15" s="19" t="n"/>
      <c r="F15" s="19" t="n"/>
      <c r="G15" s="19" t="n"/>
      <c r="H15" s="19" t="n"/>
      <c r="I15" s="19" t="n"/>
    </row>
    <row r="16">
      <c r="A16" s="19" t="n"/>
      <c r="B16" s="19" t="n"/>
      <c r="C16" s="19" t="n"/>
      <c r="D16" s="20" t="n"/>
      <c r="E16" s="19" t="n"/>
      <c r="F16" s="19" t="n"/>
      <c r="G16" s="19" t="n"/>
      <c r="H16" s="19" t="n"/>
      <c r="I16" s="19" t="n"/>
    </row>
    <row r="17">
      <c r="A17" s="19" t="n"/>
      <c r="B17" s="19" t="n"/>
      <c r="C17" s="19" t="n"/>
      <c r="D17" s="20" t="n"/>
      <c r="E17" s="19" t="n"/>
      <c r="F17" s="19" t="n"/>
      <c r="G17" s="19" t="n"/>
      <c r="H17" s="19" t="n"/>
      <c r="I17" s="19" t="n"/>
    </row>
    <row r="18">
      <c r="A18" s="19" t="n"/>
      <c r="B18" s="19" t="n"/>
      <c r="C18" s="19" t="n"/>
      <c r="D18" s="20" t="n"/>
      <c r="E18" s="19" t="n"/>
      <c r="F18" s="19" t="n"/>
      <c r="G18" s="19" t="n"/>
      <c r="H18" s="19" t="n"/>
      <c r="I18" s="19" t="n"/>
    </row>
    <row r="19">
      <c r="A19" s="19" t="n"/>
      <c r="B19" s="19" t="n"/>
      <c r="C19" s="19" t="n"/>
      <c r="D19" s="20" t="n"/>
      <c r="E19" s="19" t="n"/>
      <c r="F19" s="19" t="n"/>
      <c r="G19" s="19" t="n"/>
      <c r="H19" s="19" t="n"/>
      <c r="I19" s="19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 codeName="Sheet5">
    <outlinePr summaryBelow="1" summaryRight="1"/>
    <pageSetUpPr/>
  </sheetPr>
  <dimension ref="A2:J3000"/>
  <sheetViews>
    <sheetView rightToLeft="1" workbookViewId="0">
      <selection activeCell="E6" sqref="E6"/>
    </sheetView>
  </sheetViews>
  <sheetFormatPr baseColWidth="8" defaultRowHeight="14.4"/>
  <cols>
    <col width="11.21875" customWidth="1" style="32" min="1" max="1"/>
    <col width="11.6640625" customWidth="1" style="34" min="2" max="2"/>
    <col width="9.109375" bestFit="1" customWidth="1" style="34" min="3" max="3"/>
    <col width="13" customWidth="1" style="32" min="4" max="4"/>
    <col width="35.77734375" bestFit="1" customWidth="1" style="32" min="5" max="5"/>
    <col width="14.21875" customWidth="1" style="32" min="6" max="6"/>
    <col width="12.88671875" bestFit="1" customWidth="1" style="37" min="7" max="7"/>
    <col width="12.21875" bestFit="1" customWidth="1" style="37" min="8" max="8"/>
  </cols>
  <sheetData>
    <row r="2">
      <c r="A2" s="19" t="inlineStr">
        <is>
          <t>اسم العميل</t>
        </is>
      </c>
      <c r="B2" s="33" t="inlineStr">
        <is>
          <t>سعر شراء</t>
        </is>
      </c>
      <c r="C2" s="33" t="inlineStr">
        <is>
          <t>سعر بيع</t>
        </is>
      </c>
      <c r="D2" s="19" t="inlineStr">
        <is>
          <t>سعر شراء 2</t>
        </is>
      </c>
      <c r="E2" s="19" t="inlineStr">
        <is>
          <t>سعر بيع 2</t>
        </is>
      </c>
      <c r="F2" s="19" t="inlineStr">
        <is>
          <t>رقم امر البيع</t>
        </is>
      </c>
      <c r="G2" s="19" t="inlineStr">
        <is>
          <t>اخر طريقة السداد</t>
        </is>
      </c>
      <c r="H2" s="19" t="inlineStr">
        <is>
          <t>تاريخ اخر فاتورة</t>
        </is>
      </c>
      <c r="I2" t="inlineStr">
        <is>
          <t>إجمالي سعر الشراء</t>
        </is>
      </c>
      <c r="J2" t="inlineStr">
        <is>
          <t>إجمالي سعر البيع</t>
        </is>
      </c>
    </row>
    <row r="3">
      <c r="A3" s="19" t="inlineStr">
        <is>
          <t>خالد صبري</t>
        </is>
      </c>
      <c r="B3" s="33" t="n">
        <v>39450</v>
      </c>
      <c r="C3" s="33" t="n">
        <v>40300</v>
      </c>
      <c r="D3" s="19" t="n"/>
      <c r="E3" s="19" t="n"/>
      <c r="F3" s="19" t="n">
        <v>1</v>
      </c>
      <c r="G3" t="inlineStr">
        <is>
          <t>شيك 60يوم</t>
        </is>
      </c>
      <c r="H3" s="42" t="n">
        <v>46200</v>
      </c>
      <c r="I3" t="n">
        <v>1922004</v>
      </c>
      <c r="J3" t="n">
        <v>1963416</v>
      </c>
    </row>
    <row r="4">
      <c r="A4" s="19" t="inlineStr">
        <is>
          <t>سامكريت مصر</t>
        </is>
      </c>
      <c r="B4" s="33" t="n">
        <v>41000</v>
      </c>
      <c r="C4" s="33" t="n">
        <v>42500</v>
      </c>
      <c r="D4" s="19" t="n"/>
      <c r="E4" s="19" t="n"/>
      <c r="F4" s="19" t="n">
        <v>19</v>
      </c>
      <c r="G4" t="inlineStr">
        <is>
          <t>شيك 60يوم</t>
        </is>
      </c>
      <c r="H4" s="42" t="n">
        <v>46209</v>
      </c>
      <c r="I4" t="n">
        <v>2961840</v>
      </c>
      <c r="J4" t="n">
        <v>3070200</v>
      </c>
    </row>
    <row r="5">
      <c r="A5" s="19" t="inlineStr">
        <is>
          <t>فالتور</t>
        </is>
      </c>
      <c r="B5" s="33" t="n">
        <v>40000</v>
      </c>
      <c r="C5" s="33" t="n">
        <v>40200</v>
      </c>
      <c r="D5" s="19" t="n"/>
      <c r="E5" s="19" t="n"/>
      <c r="F5" s="19" t="n">
        <v>3</v>
      </c>
      <c r="G5" t="inlineStr">
        <is>
          <t>شيك 90 يوم</t>
        </is>
      </c>
      <c r="H5" s="42" t="n">
        <v>46211</v>
      </c>
      <c r="I5" t="n">
        <v>7818800</v>
      </c>
      <c r="J5" t="n">
        <v>7857894</v>
      </c>
    </row>
    <row r="6">
      <c r="A6" s="19" t="inlineStr">
        <is>
          <t>ويكادي</t>
        </is>
      </c>
      <c r="B6" s="33" t="n">
        <v>38100</v>
      </c>
      <c r="C6" s="33" t="n">
        <v>38100</v>
      </c>
      <c r="D6" s="19" t="n"/>
      <c r="E6" s="19" t="n"/>
      <c r="F6" s="19" t="n">
        <v>18</v>
      </c>
      <c r="G6" t="inlineStr">
        <is>
          <t>كاش 25% - شيك شهر</t>
        </is>
      </c>
      <c r="H6" s="42" t="n">
        <v>46217</v>
      </c>
      <c r="I6" t="n">
        <v>4594860</v>
      </c>
      <c r="J6" t="n">
        <v>4594860</v>
      </c>
    </row>
    <row r="7">
      <c r="A7" s="19" t="inlineStr">
        <is>
          <t>بيراميدز</t>
        </is>
      </c>
      <c r="B7" s="33" t="n">
        <v>37500</v>
      </c>
      <c r="C7" s="33" t="n">
        <v>37600</v>
      </c>
      <c r="D7" s="19" t="n"/>
      <c r="E7" s="19" t="n"/>
      <c r="F7" s="19" t="inlineStr">
        <is>
          <t>9--4</t>
        </is>
      </c>
      <c r="G7" t="inlineStr">
        <is>
          <t>كاش 100%</t>
        </is>
      </c>
      <c r="H7" s="42" t="n">
        <v>46221</v>
      </c>
      <c r="I7" t="n">
        <v>33189750</v>
      </c>
      <c r="J7" t="n">
        <v>33278256</v>
      </c>
    </row>
    <row r="8" hidden="1" s="37">
      <c r="A8" s="19" t="inlineStr">
        <is>
          <t>بيراميدز</t>
        </is>
      </c>
      <c r="B8" s="33" t="n">
        <v>37500</v>
      </c>
      <c r="C8" s="33" t="n">
        <v>37600</v>
      </c>
      <c r="D8" s="19" t="n"/>
      <c r="E8" s="19" t="n"/>
      <c r="F8" s="19" t="inlineStr">
        <is>
          <t>9--1</t>
        </is>
      </c>
      <c r="G8" t="inlineStr">
        <is>
          <t>كاش 100%</t>
        </is>
      </c>
      <c r="H8" s="42" t="n">
        <v>46218</v>
      </c>
      <c r="I8" t="n">
        <v>5223750</v>
      </c>
      <c r="J8" t="n">
        <v>5237680</v>
      </c>
    </row>
    <row r="9">
      <c r="A9" s="19" t="inlineStr">
        <is>
          <t>بيراميدز</t>
        </is>
      </c>
      <c r="B9" s="33" t="n">
        <v>37500</v>
      </c>
      <c r="C9" s="33" t="n">
        <v>37600</v>
      </c>
      <c r="D9" s="19" t="n"/>
      <c r="E9" s="19" t="n"/>
      <c r="F9" s="19" t="inlineStr">
        <is>
          <t>9--2</t>
        </is>
      </c>
      <c r="G9" t="inlineStr">
        <is>
          <t>كاش 100%</t>
        </is>
      </c>
      <c r="H9" s="42" t="n">
        <v>46217</v>
      </c>
      <c r="I9" t="n">
        <v>3573375</v>
      </c>
      <c r="J9" t="n">
        <v>3582904</v>
      </c>
    </row>
    <row r="10">
      <c r="A10" s="19" t="inlineStr">
        <is>
          <t>بيراميدز</t>
        </is>
      </c>
      <c r="B10" s="33" t="n">
        <v>37500</v>
      </c>
      <c r="C10" s="33" t="n">
        <v>37600</v>
      </c>
      <c r="D10" s="19" t="n"/>
      <c r="E10" s="19" t="n"/>
      <c r="F10" s="19" t="inlineStr">
        <is>
          <t>9--3</t>
        </is>
      </c>
      <c r="G10" t="inlineStr">
        <is>
          <t>كاش 100%</t>
        </is>
      </c>
      <c r="H10" s="42" t="n">
        <v>46217</v>
      </c>
      <c r="I10" t="n">
        <v>10995000</v>
      </c>
      <c r="J10" t="n">
        <v>11024320</v>
      </c>
    </row>
    <row r="11">
      <c r="A11" s="19" t="inlineStr">
        <is>
          <t>سامكريت مصر</t>
        </is>
      </c>
      <c r="B11" s="33" t="n">
        <v>38800</v>
      </c>
      <c r="C11" s="33" t="n">
        <v>40700</v>
      </c>
      <c r="D11" s="19" t="n"/>
      <c r="E11" s="19" t="n"/>
      <c r="F11" s="19" t="inlineStr">
        <is>
          <t>C-102</t>
        </is>
      </c>
      <c r="G11" t="inlineStr">
        <is>
          <t>شيك 45 يوم</t>
        </is>
      </c>
      <c r="H11" s="42" t="n">
        <v>46224</v>
      </c>
      <c r="I11" t="n">
        <v>5361384</v>
      </c>
      <c r="J11" t="n">
        <v>5623926</v>
      </c>
    </row>
    <row r="12">
      <c r="A12" s="19" t="inlineStr">
        <is>
          <t>عميل التطوير</t>
        </is>
      </c>
      <c r="B12" s="33" t="n"/>
      <c r="C12" s="33" t="n"/>
      <c r="D12" s="19" t="n"/>
      <c r="E12" s="19" t="n"/>
      <c r="F12" s="19" t="inlineStr">
        <is>
          <t>T-106/1</t>
        </is>
      </c>
      <c r="H12" s="42" t="inlineStr"/>
    </row>
    <row r="13">
      <c r="A13" s="19" t="inlineStr">
        <is>
          <t>فالتور</t>
        </is>
      </c>
      <c r="B13" s="33" t="n">
        <v>39400</v>
      </c>
      <c r="C13" s="33" t="n">
        <v>39950</v>
      </c>
      <c r="D13" s="19" t="n"/>
      <c r="E13" s="19" t="n"/>
      <c r="F13" s="19" t="inlineStr">
        <is>
          <t>C-104-R/1</t>
        </is>
      </c>
      <c r="G13" t="inlineStr">
        <is>
          <t>شيك 30 يوم - شيك 60 يوم - شيك 90 يوم</t>
        </is>
      </c>
      <c r="H13" s="42" t="n">
        <v>46232</v>
      </c>
      <c r="I13" t="n">
        <v>7041765</v>
      </c>
      <c r="J13" t="n">
        <v>7140063.75</v>
      </c>
    </row>
    <row r="14">
      <c r="A14" s="19" t="inlineStr">
        <is>
          <t>جي دبيو</t>
        </is>
      </c>
      <c r="B14" s="33" t="n">
        <v>37800</v>
      </c>
      <c r="C14" s="33" t="n">
        <v>39250</v>
      </c>
      <c r="D14" s="19" t="n"/>
      <c r="E14" s="19" t="n"/>
      <c r="F14" s="19" t="inlineStr">
        <is>
          <t>D-105/1</t>
        </is>
      </c>
      <c r="G14" t="inlineStr">
        <is>
          <t>شيك اجل 60  يوم</t>
        </is>
      </c>
      <c r="H14" s="42" t="n">
        <v>46224</v>
      </c>
      <c r="I14" t="n">
        <v>1477980</v>
      </c>
      <c r="J14" t="n">
        <v>1534675</v>
      </c>
    </row>
    <row r="15">
      <c r="A15" s="19" t="inlineStr">
        <is>
          <t>ويكادي</t>
        </is>
      </c>
      <c r="B15" s="33" t="n">
        <v>37500</v>
      </c>
      <c r="C15" s="33" t="n">
        <v>37700</v>
      </c>
      <c r="D15" s="19" t="n"/>
      <c r="E15" s="19" t="n"/>
      <c r="F15" s="19" t="n">
        <v>26</v>
      </c>
      <c r="G15" t="inlineStr">
        <is>
          <t>كاش 100%</t>
        </is>
      </c>
      <c r="H15" s="42" t="n">
        <v>46231</v>
      </c>
      <c r="I15" t="n">
        <v>2971500</v>
      </c>
      <c r="J15" t="n">
        <v>2987348</v>
      </c>
    </row>
    <row r="16">
      <c r="A16" s="19" t="inlineStr">
        <is>
          <t>خالد صبري</t>
        </is>
      </c>
      <c r="B16" s="33" t="n">
        <v>38800</v>
      </c>
      <c r="C16" s="33" t="n">
        <v>40500</v>
      </c>
      <c r="D16" s="19" t="n"/>
      <c r="E16" s="19" t="n"/>
      <c r="F16" s="19" t="n">
        <v>27</v>
      </c>
      <c r="G16" t="inlineStr">
        <is>
          <t>شيك 60 يوم</t>
        </is>
      </c>
      <c r="H16" s="42" t="n">
        <v>46232</v>
      </c>
      <c r="I16" t="n">
        <v>3804728</v>
      </c>
      <c r="J16" t="n">
        <v>3971430</v>
      </c>
    </row>
    <row r="17">
      <c r="A17" s="19" t="inlineStr">
        <is>
          <t>ويكادي</t>
        </is>
      </c>
      <c r="B17" s="33" t="n">
        <v>38000</v>
      </c>
      <c r="C17" s="33" t="n">
        <v>38350</v>
      </c>
      <c r="D17" s="19" t="n"/>
      <c r="E17" s="19" t="n"/>
      <c r="F17" s="19" t="n">
        <v>28</v>
      </c>
      <c r="G17" t="inlineStr">
        <is>
          <t>كاش 25% - شيك شهر</t>
        </is>
      </c>
      <c r="H17" s="42" t="n">
        <v>46234</v>
      </c>
      <c r="I17" t="n">
        <v>3712600</v>
      </c>
      <c r="J17" t="n">
        <v>3746795</v>
      </c>
    </row>
    <row r="18">
      <c r="A18" s="19" t="inlineStr">
        <is>
          <t>سامكريت مصر</t>
        </is>
      </c>
      <c r="B18" s="33" t="n"/>
      <c r="C18" s="33" t="n">
        <v>0</v>
      </c>
      <c r="D18" s="19" t="n">
        <v>40000</v>
      </c>
      <c r="E18" s="19" t="n">
        <v>41000</v>
      </c>
      <c r="F18" s="19" t="n">
        <v>44</v>
      </c>
      <c r="G18" t="inlineStr">
        <is>
          <t>شيك اجل 60 يوم</t>
        </is>
      </c>
      <c r="H18" s="42" t="inlineStr"/>
      <c r="I18" t="n">
        <v>7134916</v>
      </c>
      <c r="J18" t="n">
        <v>7243060</v>
      </c>
    </row>
    <row r="19">
      <c r="A19" s="19" t="inlineStr">
        <is>
          <t>فالتور</t>
        </is>
      </c>
      <c r="B19" s="33" t="n">
        <v>39450</v>
      </c>
      <c r="C19" s="33" t="n">
        <v>39950</v>
      </c>
      <c r="D19" s="19" t="n"/>
      <c r="E19" s="19" t="n"/>
      <c r="F19" s="19" t="n">
        <v>31</v>
      </c>
      <c r="G19" t="inlineStr">
        <is>
          <t>شيك 30 يوم - شيك 60 يوم - شيك 90 يوم</t>
        </is>
      </c>
      <c r="H19" s="42" t="n">
        <v>46240</v>
      </c>
      <c r="I19" t="n">
        <v>20754250.5</v>
      </c>
      <c r="J19" t="n">
        <v>21017295.5</v>
      </c>
    </row>
    <row r="20">
      <c r="A20" s="19" t="inlineStr">
        <is>
          <t>ويكادي</t>
        </is>
      </c>
      <c r="B20" s="33" t="n">
        <v>38100</v>
      </c>
      <c r="C20" s="33" t="n">
        <v>38350</v>
      </c>
      <c r="D20" s="19" t="n"/>
      <c r="E20" s="19" t="n"/>
      <c r="F20" s="19" t="n">
        <v>32</v>
      </c>
      <c r="G20" t="inlineStr">
        <is>
          <t>كاش 50% - شيك اجل شهر</t>
        </is>
      </c>
      <c r="H20" s="42" t="n">
        <v>46240</v>
      </c>
      <c r="I20" t="n">
        <v>2253996</v>
      </c>
      <c r="J20" t="n">
        <v>2268786</v>
      </c>
    </row>
    <row r="21">
      <c r="A21" s="19" t="inlineStr">
        <is>
          <t>ويكادي</t>
        </is>
      </c>
      <c r="B21" s="33" t="n">
        <v>37500</v>
      </c>
      <c r="C21" s="33" t="n">
        <v>37700</v>
      </c>
      <c r="D21" s="19" t="n"/>
      <c r="E21" s="19" t="n"/>
      <c r="F21" s="19" t="n">
        <v>33</v>
      </c>
      <c r="G21" t="inlineStr">
        <is>
          <t>كاش 100%</t>
        </is>
      </c>
      <c r="H21" s="42" t="n">
        <v>46243</v>
      </c>
      <c r="I21" t="n">
        <v>2646000</v>
      </c>
      <c r="J21" t="n">
        <v>2660112</v>
      </c>
    </row>
    <row r="22">
      <c r="A22" s="19" t="inlineStr">
        <is>
          <t>ويكادي</t>
        </is>
      </c>
      <c r="B22" s="33" t="n">
        <v>38250</v>
      </c>
      <c r="C22" s="33" t="n">
        <v>38650</v>
      </c>
      <c r="D22" s="19" t="n"/>
      <c r="E22" s="19" t="n"/>
      <c r="F22" s="19" t="n">
        <v>34</v>
      </c>
      <c r="G22" t="inlineStr">
        <is>
          <t>كاش 50% - شيك اجل شهر</t>
        </is>
      </c>
      <c r="H22" s="42" t="n">
        <v>46243</v>
      </c>
      <c r="I22" t="n">
        <v>2470950</v>
      </c>
      <c r="J22" t="n">
        <v>2496790</v>
      </c>
    </row>
    <row r="23">
      <c r="A23" s="19" t="inlineStr">
        <is>
          <t>خالد صبري</t>
        </is>
      </c>
      <c r="B23" s="33" t="n">
        <v>39450</v>
      </c>
      <c r="C23" s="33" t="n">
        <v>40100</v>
      </c>
      <c r="D23" s="19" t="n"/>
      <c r="E23" s="19" t="n"/>
      <c r="F23" s="19" t="n">
        <v>36</v>
      </c>
      <c r="G23" t="inlineStr">
        <is>
          <t>شيك اجل 60 يوم</t>
        </is>
      </c>
      <c r="H23" s="42" t="n">
        <v>46245</v>
      </c>
      <c r="I23" t="n">
        <v>5090628</v>
      </c>
      <c r="J23" t="n">
        <v>5174504</v>
      </c>
    </row>
    <row r="24">
      <c r="A24" t="inlineStr">
        <is>
          <t>فالتور</t>
        </is>
      </c>
      <c r="B24" t="n">
        <v>39450</v>
      </c>
      <c r="C24" t="n">
        <v>39950</v>
      </c>
      <c r="F24" t="n">
        <v>37</v>
      </c>
      <c r="G24" t="inlineStr">
        <is>
          <t>شيك 30 يوم - شيك 60 يوم - شيك 90 يوم</t>
        </is>
      </c>
      <c r="H24" s="42" t="n">
        <v>46250</v>
      </c>
      <c r="I24" t="n">
        <v>8767368</v>
      </c>
      <c r="J24" t="n">
        <v>8878488</v>
      </c>
    </row>
    <row r="25">
      <c r="A25" t="inlineStr">
        <is>
          <t>ويكادي</t>
        </is>
      </c>
      <c r="B25" t="n">
        <v>38000</v>
      </c>
      <c r="C25" t="n">
        <v>38050</v>
      </c>
      <c r="F25" t="n">
        <v>38</v>
      </c>
      <c r="G25" t="inlineStr">
        <is>
          <t>كاش 100%</t>
        </is>
      </c>
      <c r="H25" s="42" t="n">
        <v>46250</v>
      </c>
      <c r="I25" t="n">
        <v>1857440</v>
      </c>
      <c r="J25" t="n">
        <v>1859884</v>
      </c>
    </row>
    <row r="26">
      <c r="A26" t="inlineStr">
        <is>
          <t>بينتاكون</t>
        </is>
      </c>
      <c r="B26" t="n">
        <v>39500</v>
      </c>
      <c r="C26" t="n">
        <v>40500</v>
      </c>
      <c r="F26" t="n">
        <v>39</v>
      </c>
      <c r="G26" t="inlineStr">
        <is>
          <t>شيك اجل 60 يوم</t>
        </is>
      </c>
      <c r="H26" s="42" t="n">
        <v>46250</v>
      </c>
      <c r="I26" t="n">
        <v>1967495</v>
      </c>
      <c r="J26" t="n">
        <v>2017305</v>
      </c>
    </row>
    <row r="27">
      <c r="A27" t="inlineStr">
        <is>
          <t>ويكادي</t>
        </is>
      </c>
      <c r="B27" t="n">
        <v>38450</v>
      </c>
      <c r="C27" t="n">
        <v>38800</v>
      </c>
      <c r="F27" t="n">
        <v>40</v>
      </c>
      <c r="G27" t="inlineStr">
        <is>
          <t>كاش 25% - شيك اجل شهر</t>
        </is>
      </c>
      <c r="H27" s="42" t="n">
        <v>46251</v>
      </c>
      <c r="I27" t="n">
        <v>2057075</v>
      </c>
      <c r="J27" t="n">
        <v>2075800</v>
      </c>
    </row>
    <row r="28">
      <c r="A28" t="inlineStr">
        <is>
          <t>خالد صبري</t>
        </is>
      </c>
      <c r="B28" t="n">
        <v>39500</v>
      </c>
      <c r="C28" t="n">
        <v>40600</v>
      </c>
      <c r="F28" t="n">
        <v>41</v>
      </c>
      <c r="G28" t="inlineStr">
        <is>
          <t>شيك اجل 60 يوم</t>
        </is>
      </c>
      <c r="H28" s="42" t="n">
        <v>46251</v>
      </c>
      <c r="I28" t="n">
        <v>3905760</v>
      </c>
      <c r="J28" t="n">
        <v>4014528</v>
      </c>
    </row>
    <row r="29">
      <c r="A29" t="inlineStr">
        <is>
          <t>ويكادي</t>
        </is>
      </c>
      <c r="B29" t="n">
        <v>38000</v>
      </c>
      <c r="C29" t="n">
        <v>38050</v>
      </c>
      <c r="F29" t="n">
        <v>42</v>
      </c>
      <c r="G29" t="inlineStr">
        <is>
          <t>كاش 100%</t>
        </is>
      </c>
      <c r="H29" s="42" t="n">
        <v>46252</v>
      </c>
      <c r="I29" t="n">
        <v>2768680</v>
      </c>
      <c r="J29" t="n">
        <v>2772323</v>
      </c>
    </row>
    <row r="30">
      <c r="A30" t="inlineStr">
        <is>
          <t>الشركة المتحده</t>
        </is>
      </c>
      <c r="B30" t="n">
        <v>39750</v>
      </c>
      <c r="C30" t="n">
        <v>40050</v>
      </c>
      <c r="F30" t="n">
        <v>43</v>
      </c>
      <c r="G30" t="inlineStr">
        <is>
          <t>شيك اجل 60 يوم</t>
        </is>
      </c>
      <c r="H30" s="42" t="n">
        <v>46256</v>
      </c>
      <c r="I30" t="n">
        <v>17612430</v>
      </c>
      <c r="J30" t="n">
        <v>17745354</v>
      </c>
    </row>
    <row r="31">
      <c r="A31" t="inlineStr">
        <is>
          <t>ويكادي</t>
        </is>
      </c>
      <c r="B31" t="n">
        <v>38150</v>
      </c>
      <c r="C31" t="n">
        <v>38150</v>
      </c>
      <c r="F31" t="n">
        <v>45</v>
      </c>
      <c r="G31" t="inlineStr">
        <is>
          <t>كاش 100%</t>
        </is>
      </c>
      <c r="H31" s="42" t="n">
        <v>46274</v>
      </c>
      <c r="I31" t="n">
        <v>2393531</v>
      </c>
      <c r="J31" t="n">
        <v>2393531</v>
      </c>
    </row>
    <row r="32">
      <c r="A32" t="inlineStr">
        <is>
          <t>فالتور</t>
        </is>
      </c>
      <c r="B32" t="n">
        <v>39000</v>
      </c>
      <c r="C32" t="n">
        <v>39600</v>
      </c>
      <c r="F32" t="n">
        <v>46</v>
      </c>
      <c r="G32" t="inlineStr">
        <is>
          <t>كاش 34% - شيك اجل 10 يوم - شيك اجل 40 يوم</t>
        </is>
      </c>
      <c r="H32" s="42" t="n">
        <v>46281</v>
      </c>
      <c r="I32" t="n">
        <v>9783540</v>
      </c>
      <c r="J32" t="n">
        <v>9934056</v>
      </c>
    </row>
    <row r="33">
      <c r="A33" t="inlineStr">
        <is>
          <t>ويكادي</t>
        </is>
      </c>
      <c r="B33" t="n">
        <v>38600</v>
      </c>
      <c r="C33" t="n">
        <v>38800</v>
      </c>
      <c r="F33" t="n">
        <v>47</v>
      </c>
      <c r="H33" s="42" t="n">
        <v>46284</v>
      </c>
      <c r="I33" t="n">
        <v>4554028</v>
      </c>
      <c r="J33" t="n">
        <v>4577624</v>
      </c>
    </row>
    <row r="34">
      <c r="A34" t="inlineStr">
        <is>
          <t>ويكادي</t>
        </is>
      </c>
      <c r="B34" t="n">
        <v>38100</v>
      </c>
      <c r="C34" t="n">
        <v>38150</v>
      </c>
      <c r="F34" t="n">
        <v>48</v>
      </c>
      <c r="G34" t="inlineStr">
        <is>
          <t>كاش 100%</t>
        </is>
      </c>
      <c r="H34" s="42" t="n">
        <v>46284</v>
      </c>
      <c r="I34" t="n">
        <v>1823466</v>
      </c>
      <c r="J34" t="n">
        <v>1825859</v>
      </c>
    </row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  <row r="202"/>
    <row r="203"/>
    <row r="204"/>
    <row r="205"/>
    <row r="206"/>
    <row r="207"/>
    <row r="208"/>
    <row r="209"/>
    <row r="210"/>
    <row r="211"/>
    <row r="212"/>
    <row r="213"/>
    <row r="214"/>
    <row r="215"/>
    <row r="216"/>
    <row r="217"/>
    <row r="218"/>
    <row r="219"/>
    <row r="220"/>
    <row r="221"/>
    <row r="222"/>
    <row r="223"/>
    <row r="224"/>
    <row r="225"/>
    <row r="226"/>
    <row r="227"/>
    <row r="228"/>
    <row r="229"/>
    <row r="230"/>
    <row r="231"/>
    <row r="232"/>
    <row r="233"/>
    <row r="234"/>
    <row r="235"/>
    <row r="236"/>
    <row r="237"/>
    <row r="238"/>
    <row r="239"/>
    <row r="240"/>
    <row r="241"/>
    <row r="242"/>
    <row r="243"/>
    <row r="244"/>
    <row r="245"/>
    <row r="246"/>
    <row r="247"/>
    <row r="248"/>
    <row r="249"/>
    <row r="250"/>
    <row r="251"/>
    <row r="252"/>
    <row r="253"/>
    <row r="254"/>
    <row r="255"/>
    <row r="256"/>
    <row r="257"/>
    <row r="258"/>
    <row r="259"/>
    <row r="260"/>
    <row r="261"/>
    <row r="262"/>
    <row r="263"/>
    <row r="264"/>
    <row r="265"/>
    <row r="266"/>
    <row r="267"/>
    <row r="268"/>
    <row r="269"/>
    <row r="270"/>
    <row r="271"/>
    <row r="272"/>
    <row r="273"/>
    <row r="274"/>
    <row r="275"/>
    <row r="276"/>
    <row r="277"/>
    <row r="278"/>
    <row r="279"/>
    <row r="280"/>
    <row r="281"/>
    <row r="282"/>
    <row r="283"/>
    <row r="284"/>
    <row r="285"/>
    <row r="286"/>
    <row r="287"/>
    <row r="288"/>
    <row r="289"/>
    <row r="290"/>
    <row r="291"/>
    <row r="292"/>
    <row r="293"/>
    <row r="294"/>
    <row r="295"/>
    <row r="296"/>
    <row r="297"/>
    <row r="298"/>
    <row r="299"/>
    <row r="300"/>
    <row r="301"/>
    <row r="302"/>
    <row r="303"/>
    <row r="304"/>
    <row r="305"/>
    <row r="306"/>
    <row r="307"/>
    <row r="308"/>
    <row r="309"/>
    <row r="310"/>
    <row r="311"/>
    <row r="312"/>
    <row r="313"/>
    <row r="314"/>
    <row r="315"/>
    <row r="316"/>
    <row r="317"/>
    <row r="318"/>
    <row r="319"/>
    <row r="320"/>
    <row r="321"/>
    <row r="322"/>
    <row r="323"/>
    <row r="324"/>
    <row r="325"/>
    <row r="326"/>
    <row r="327"/>
    <row r="328"/>
    <row r="329"/>
    <row r="330"/>
    <row r="331"/>
    <row r="332"/>
    <row r="333"/>
    <row r="334"/>
    <row r="335"/>
    <row r="336"/>
    <row r="337"/>
    <row r="338"/>
    <row r="339"/>
    <row r="340"/>
    <row r="341"/>
    <row r="342"/>
    <row r="343"/>
    <row r="344"/>
    <row r="345"/>
    <row r="346"/>
    <row r="347"/>
    <row r="348"/>
    <row r="349"/>
    <row r="350"/>
    <row r="351"/>
    <row r="352"/>
    <row r="353"/>
    <row r="354"/>
    <row r="355"/>
    <row r="356"/>
    <row r="357"/>
    <row r="358"/>
    <row r="359"/>
    <row r="360"/>
    <row r="361"/>
    <row r="362"/>
    <row r="363"/>
    <row r="364"/>
    <row r="365"/>
    <row r="366"/>
    <row r="367"/>
    <row r="368"/>
    <row r="369"/>
    <row r="370"/>
    <row r="371"/>
    <row r="372"/>
    <row r="373"/>
    <row r="374"/>
    <row r="375"/>
    <row r="376"/>
    <row r="377"/>
    <row r="378"/>
    <row r="379"/>
    <row r="380"/>
    <row r="381"/>
    <row r="382"/>
    <row r="383"/>
    <row r="384"/>
    <row r="385"/>
    <row r="386"/>
    <row r="387"/>
    <row r="388"/>
    <row r="389"/>
    <row r="390"/>
    <row r="391"/>
    <row r="392"/>
    <row r="393"/>
    <row r="394"/>
    <row r="395"/>
    <row r="396"/>
    <row r="397"/>
    <row r="398"/>
    <row r="399"/>
    <row r="400"/>
    <row r="401"/>
    <row r="402"/>
    <row r="403"/>
    <row r="404"/>
    <row r="405"/>
    <row r="406"/>
    <row r="407"/>
    <row r="408"/>
    <row r="409"/>
    <row r="410"/>
    <row r="411"/>
    <row r="412"/>
    <row r="413"/>
    <row r="414"/>
    <row r="415"/>
    <row r="416"/>
    <row r="417"/>
    <row r="418"/>
    <row r="419"/>
    <row r="420"/>
    <row r="421"/>
    <row r="422"/>
    <row r="423"/>
    <row r="424"/>
    <row r="425"/>
    <row r="426"/>
    <row r="427"/>
    <row r="428"/>
    <row r="429"/>
    <row r="430"/>
    <row r="431"/>
    <row r="432"/>
    <row r="433"/>
    <row r="434"/>
    <row r="435"/>
    <row r="436"/>
    <row r="437"/>
    <row r="438"/>
    <row r="439"/>
    <row r="440"/>
    <row r="441"/>
    <row r="442"/>
    <row r="443"/>
    <row r="444"/>
    <row r="445"/>
    <row r="446"/>
    <row r="447"/>
    <row r="448"/>
    <row r="449"/>
    <row r="450"/>
    <row r="451"/>
    <row r="452"/>
    <row r="453"/>
    <row r="454"/>
    <row r="455"/>
    <row r="456"/>
    <row r="457"/>
    <row r="458"/>
    <row r="459"/>
    <row r="460"/>
    <row r="461"/>
    <row r="462"/>
    <row r="463"/>
    <row r="464"/>
    <row r="465"/>
    <row r="466"/>
    <row r="467"/>
    <row r="468"/>
    <row r="469"/>
    <row r="470"/>
    <row r="471"/>
    <row r="472"/>
    <row r="473"/>
    <row r="474"/>
    <row r="475"/>
    <row r="476"/>
    <row r="477"/>
    <row r="478"/>
    <row r="479"/>
    <row r="480"/>
    <row r="481"/>
    <row r="482"/>
    <row r="483"/>
    <row r="484"/>
    <row r="485"/>
    <row r="486"/>
    <row r="487"/>
    <row r="488"/>
    <row r="489"/>
    <row r="490"/>
    <row r="491"/>
    <row r="492"/>
    <row r="493"/>
    <row r="494"/>
    <row r="495"/>
    <row r="496"/>
    <row r="497"/>
    <row r="498"/>
    <row r="499"/>
    <row r="500"/>
    <row r="501"/>
    <row r="502"/>
    <row r="503"/>
    <row r="504"/>
    <row r="505"/>
    <row r="506"/>
    <row r="507"/>
    <row r="508"/>
    <row r="509"/>
    <row r="510"/>
    <row r="511"/>
    <row r="512"/>
    <row r="513"/>
    <row r="514"/>
    <row r="515"/>
    <row r="516"/>
    <row r="517"/>
    <row r="518"/>
    <row r="519"/>
    <row r="520"/>
    <row r="521"/>
    <row r="522"/>
    <row r="523"/>
    <row r="524"/>
    <row r="525"/>
    <row r="526"/>
    <row r="527"/>
    <row r="528"/>
    <row r="529"/>
    <row r="530"/>
    <row r="531"/>
    <row r="532"/>
    <row r="533"/>
    <row r="534"/>
    <row r="535"/>
    <row r="536"/>
    <row r="537"/>
    <row r="538"/>
    <row r="539"/>
    <row r="540"/>
    <row r="541"/>
    <row r="542"/>
    <row r="543"/>
    <row r="544"/>
    <row r="545"/>
    <row r="546"/>
    <row r="547"/>
    <row r="548"/>
    <row r="549"/>
    <row r="550"/>
    <row r="551"/>
    <row r="552"/>
    <row r="553"/>
    <row r="554"/>
    <row r="555"/>
    <row r="556"/>
    <row r="557"/>
    <row r="558"/>
    <row r="559"/>
    <row r="560"/>
    <row r="561"/>
    <row r="562"/>
    <row r="563"/>
    <row r="564"/>
    <row r="565"/>
    <row r="566"/>
    <row r="567"/>
    <row r="568"/>
    <row r="569"/>
    <row r="570"/>
    <row r="571"/>
    <row r="572"/>
    <row r="573"/>
    <row r="574"/>
    <row r="575"/>
    <row r="576"/>
    <row r="577"/>
    <row r="578"/>
    <row r="579"/>
    <row r="580"/>
    <row r="581"/>
    <row r="582"/>
    <row r="583"/>
    <row r="584"/>
    <row r="585"/>
    <row r="586"/>
    <row r="587"/>
    <row r="588"/>
    <row r="589"/>
    <row r="590"/>
    <row r="591"/>
    <row r="592"/>
    <row r="593"/>
    <row r="594"/>
    <row r="595"/>
    <row r="596"/>
    <row r="597"/>
    <row r="598"/>
    <row r="599"/>
    <row r="600"/>
    <row r="601"/>
    <row r="602"/>
    <row r="603"/>
    <row r="604"/>
    <row r="605"/>
    <row r="606"/>
    <row r="607"/>
    <row r="608"/>
    <row r="609"/>
    <row r="610"/>
    <row r="611"/>
    <row r="612"/>
    <row r="613"/>
    <row r="614"/>
    <row r="615"/>
    <row r="616"/>
    <row r="617"/>
    <row r="618"/>
    <row r="619"/>
    <row r="620"/>
    <row r="621"/>
    <row r="622"/>
    <row r="623"/>
    <row r="624"/>
    <row r="625"/>
    <row r="626"/>
    <row r="627"/>
    <row r="628"/>
    <row r="629"/>
    <row r="630"/>
    <row r="631"/>
    <row r="632"/>
    <row r="633"/>
    <row r="634"/>
    <row r="635"/>
    <row r="636"/>
    <row r="637"/>
    <row r="638"/>
    <row r="639"/>
    <row r="640"/>
    <row r="641"/>
    <row r="642"/>
    <row r="643"/>
    <row r="644"/>
    <row r="645"/>
    <row r="646"/>
    <row r="647"/>
    <row r="648"/>
    <row r="649"/>
    <row r="650"/>
    <row r="651"/>
    <row r="652"/>
    <row r="653"/>
    <row r="654"/>
    <row r="655"/>
    <row r="656"/>
    <row r="657"/>
    <row r="658"/>
    <row r="659"/>
    <row r="660"/>
    <row r="661"/>
    <row r="662"/>
    <row r="663"/>
    <row r="664"/>
    <row r="665"/>
    <row r="666"/>
    <row r="667"/>
    <row r="668"/>
    <row r="669"/>
    <row r="670"/>
    <row r="671"/>
    <row r="672"/>
    <row r="673"/>
    <row r="674"/>
    <row r="675"/>
    <row r="676"/>
    <row r="677"/>
    <row r="678"/>
    <row r="679"/>
    <row r="680"/>
    <row r="681"/>
    <row r="682"/>
    <row r="683"/>
    <row r="684"/>
    <row r="685"/>
    <row r="686"/>
    <row r="687"/>
    <row r="688"/>
    <row r="689"/>
    <row r="690"/>
    <row r="691"/>
    <row r="692"/>
    <row r="693"/>
    <row r="694"/>
    <row r="695"/>
    <row r="696"/>
    <row r="697"/>
    <row r="698"/>
    <row r="699"/>
    <row r="700"/>
    <row r="701"/>
    <row r="702"/>
    <row r="703"/>
    <row r="704"/>
    <row r="705"/>
    <row r="706"/>
    <row r="707"/>
    <row r="708"/>
    <row r="709"/>
    <row r="710"/>
    <row r="711"/>
    <row r="712"/>
    <row r="713"/>
    <row r="714"/>
    <row r="715"/>
    <row r="716"/>
    <row r="717"/>
    <row r="718"/>
    <row r="719"/>
    <row r="720"/>
    <row r="721"/>
    <row r="722"/>
    <row r="723"/>
    <row r="724"/>
    <row r="725"/>
    <row r="726"/>
    <row r="727"/>
    <row r="728"/>
    <row r="729"/>
    <row r="730"/>
    <row r="731"/>
    <row r="732"/>
    <row r="733"/>
    <row r="734"/>
    <row r="735"/>
    <row r="736"/>
    <row r="737"/>
    <row r="738"/>
    <row r="739"/>
    <row r="740"/>
    <row r="741"/>
    <row r="742"/>
    <row r="743"/>
    <row r="744"/>
    <row r="745"/>
    <row r="746"/>
    <row r="747"/>
    <row r="748"/>
    <row r="749"/>
    <row r="750"/>
    <row r="751"/>
    <row r="752"/>
    <row r="753"/>
    <row r="754"/>
    <row r="755"/>
    <row r="756"/>
    <row r="757"/>
    <row r="758"/>
    <row r="759"/>
    <row r="760"/>
    <row r="761"/>
    <row r="762"/>
    <row r="763"/>
    <row r="764"/>
    <row r="765"/>
    <row r="766"/>
    <row r="767"/>
    <row r="768"/>
    <row r="769"/>
    <row r="770"/>
    <row r="771"/>
    <row r="772"/>
    <row r="773"/>
    <row r="774"/>
    <row r="775"/>
    <row r="776"/>
    <row r="777"/>
    <row r="778"/>
    <row r="779"/>
    <row r="780"/>
    <row r="781"/>
    <row r="782"/>
    <row r="783"/>
    <row r="784"/>
    <row r="785"/>
    <row r="786"/>
    <row r="787"/>
    <row r="788"/>
    <row r="789"/>
    <row r="790"/>
    <row r="791"/>
    <row r="792"/>
    <row r="793"/>
    <row r="794"/>
    <row r="795"/>
    <row r="796"/>
    <row r="797"/>
    <row r="798"/>
    <row r="799"/>
    <row r="800"/>
    <row r="801"/>
    <row r="802"/>
    <row r="803"/>
    <row r="804"/>
    <row r="805"/>
    <row r="806"/>
    <row r="807"/>
    <row r="808"/>
    <row r="809"/>
    <row r="810"/>
    <row r="811"/>
    <row r="812"/>
    <row r="813"/>
    <row r="814"/>
    <row r="815"/>
    <row r="816"/>
    <row r="817"/>
    <row r="818"/>
    <row r="819"/>
    <row r="820"/>
    <row r="821"/>
    <row r="822"/>
    <row r="823"/>
    <row r="824"/>
    <row r="825"/>
    <row r="826"/>
    <row r="827"/>
    <row r="828"/>
    <row r="829"/>
    <row r="830"/>
    <row r="831"/>
    <row r="832"/>
    <row r="833"/>
    <row r="834"/>
    <row r="835"/>
    <row r="836"/>
    <row r="837"/>
    <row r="838"/>
    <row r="839"/>
    <row r="840"/>
    <row r="841"/>
    <row r="842"/>
    <row r="843"/>
    <row r="844"/>
    <row r="845"/>
    <row r="846"/>
    <row r="847"/>
    <row r="848"/>
    <row r="849"/>
    <row r="850"/>
    <row r="851"/>
    <row r="852"/>
    <row r="853"/>
    <row r="854"/>
    <row r="855"/>
    <row r="856"/>
    <row r="857"/>
    <row r="858"/>
    <row r="859"/>
    <row r="860"/>
    <row r="861"/>
    <row r="862"/>
    <row r="863"/>
    <row r="864"/>
    <row r="865"/>
    <row r="866"/>
    <row r="867"/>
    <row r="868"/>
    <row r="869"/>
    <row r="870"/>
    <row r="871"/>
    <row r="872"/>
    <row r="873"/>
    <row r="874"/>
    <row r="875"/>
    <row r="876"/>
    <row r="877"/>
    <row r="878"/>
    <row r="879"/>
    <row r="880"/>
    <row r="881"/>
    <row r="882"/>
    <row r="883"/>
    <row r="884"/>
    <row r="885"/>
    <row r="886"/>
    <row r="887"/>
    <row r="888"/>
    <row r="889"/>
    <row r="890"/>
    <row r="891"/>
    <row r="892"/>
    <row r="893"/>
    <row r="894"/>
    <row r="895"/>
    <row r="896"/>
    <row r="897"/>
    <row r="898"/>
    <row r="899"/>
    <row r="900"/>
    <row r="901"/>
    <row r="902"/>
    <row r="903"/>
    <row r="904"/>
    <row r="905"/>
    <row r="906"/>
    <row r="907"/>
    <row r="908"/>
    <row r="909"/>
    <row r="910"/>
    <row r="911"/>
    <row r="912"/>
    <row r="913"/>
    <row r="914"/>
    <row r="915"/>
    <row r="916"/>
    <row r="917"/>
    <row r="918"/>
    <row r="919"/>
    <row r="920"/>
    <row r="921"/>
    <row r="922"/>
    <row r="923"/>
    <row r="924"/>
    <row r="925"/>
    <row r="926"/>
    <row r="927"/>
    <row r="928"/>
    <row r="929"/>
    <row r="930"/>
    <row r="931"/>
    <row r="932"/>
    <row r="933"/>
    <row r="934"/>
    <row r="935"/>
    <row r="936"/>
    <row r="937"/>
    <row r="938"/>
    <row r="939"/>
    <row r="940"/>
    <row r="941"/>
    <row r="942"/>
    <row r="943"/>
    <row r="944"/>
    <row r="945"/>
    <row r="946"/>
    <row r="947"/>
    <row r="948"/>
    <row r="949"/>
    <row r="950"/>
    <row r="951"/>
    <row r="952"/>
    <row r="953"/>
    <row r="954"/>
    <row r="955"/>
    <row r="956"/>
    <row r="957"/>
    <row r="958"/>
    <row r="959"/>
    <row r="960"/>
    <row r="961"/>
    <row r="962"/>
    <row r="963"/>
    <row r="964"/>
    <row r="965"/>
    <row r="966"/>
    <row r="967"/>
    <row r="968"/>
    <row r="969"/>
    <row r="970"/>
    <row r="971"/>
    <row r="972"/>
    <row r="973"/>
    <row r="974"/>
    <row r="975"/>
    <row r="976"/>
    <row r="977"/>
    <row r="978"/>
    <row r="979"/>
    <row r="980"/>
    <row r="981"/>
    <row r="982"/>
    <row r="983"/>
    <row r="984"/>
    <row r="985"/>
    <row r="986"/>
    <row r="987"/>
    <row r="988"/>
    <row r="989"/>
    <row r="990"/>
    <row r="991"/>
    <row r="992"/>
    <row r="993"/>
    <row r="994"/>
    <row r="995"/>
    <row r="996"/>
    <row r="997"/>
    <row r="998"/>
    <row r="999"/>
    <row r="1000"/>
    <row r="1001"/>
    <row r="1002"/>
    <row r="1003"/>
    <row r="1004"/>
    <row r="1005"/>
    <row r="1006"/>
    <row r="1007"/>
    <row r="1008"/>
    <row r="1009"/>
    <row r="1010"/>
    <row r="1011"/>
    <row r="1012"/>
    <row r="1013"/>
    <row r="1014"/>
    <row r="1015"/>
    <row r="1016"/>
    <row r="1017"/>
    <row r="1018"/>
    <row r="1019"/>
    <row r="1020"/>
    <row r="1021"/>
    <row r="1022"/>
    <row r="1023"/>
    <row r="1024"/>
    <row r="1025"/>
    <row r="1026"/>
    <row r="1027"/>
    <row r="1028"/>
    <row r="1029"/>
    <row r="1030"/>
    <row r="1031"/>
    <row r="1032"/>
    <row r="1033"/>
    <row r="1034"/>
    <row r="1035"/>
    <row r="1036"/>
    <row r="1037"/>
    <row r="1038"/>
    <row r="1039"/>
    <row r="1040"/>
    <row r="1041"/>
    <row r="1042"/>
    <row r="1043"/>
    <row r="1044"/>
    <row r="1045"/>
    <row r="1046"/>
    <row r="1047"/>
    <row r="1048"/>
    <row r="1049"/>
    <row r="1050"/>
    <row r="1051"/>
    <row r="1052"/>
    <row r="1053"/>
    <row r="1054"/>
    <row r="1055"/>
    <row r="1056"/>
    <row r="1057"/>
    <row r="1058"/>
    <row r="1059"/>
    <row r="1060"/>
    <row r="1061"/>
    <row r="1062"/>
    <row r="1063"/>
    <row r="1064"/>
    <row r="1065"/>
    <row r="1066"/>
    <row r="1067"/>
    <row r="1068"/>
    <row r="1069"/>
    <row r="1070"/>
    <row r="1071"/>
    <row r="1072"/>
    <row r="1073"/>
    <row r="1074"/>
    <row r="1075"/>
    <row r="1076"/>
    <row r="1077"/>
    <row r="1078"/>
    <row r="1079"/>
    <row r="1080"/>
    <row r="1081"/>
    <row r="1082"/>
    <row r="1083"/>
    <row r="1084"/>
    <row r="1085"/>
    <row r="1086"/>
    <row r="1087"/>
    <row r="1088"/>
    <row r="1089"/>
    <row r="1090"/>
    <row r="1091"/>
    <row r="1092"/>
    <row r="1093"/>
    <row r="1094"/>
    <row r="1095"/>
    <row r="1096"/>
    <row r="1097"/>
    <row r="1098"/>
    <row r="1099"/>
    <row r="1100"/>
    <row r="1101"/>
    <row r="1102"/>
    <row r="1103"/>
    <row r="1104"/>
    <row r="1105"/>
    <row r="1106"/>
    <row r="1107"/>
    <row r="1108"/>
    <row r="1109"/>
    <row r="1110"/>
    <row r="1111"/>
    <row r="1112"/>
    <row r="1113"/>
    <row r="1114"/>
    <row r="1115"/>
    <row r="1116"/>
    <row r="1117"/>
    <row r="1118"/>
    <row r="1119"/>
    <row r="1120"/>
    <row r="1121"/>
    <row r="1122"/>
    <row r="1123"/>
    <row r="1124"/>
    <row r="1125"/>
    <row r="1126"/>
    <row r="1127"/>
    <row r="1128"/>
    <row r="1129"/>
    <row r="1130"/>
    <row r="1131"/>
    <row r="1132"/>
    <row r="1133"/>
    <row r="1134"/>
    <row r="1135"/>
    <row r="1136"/>
    <row r="1137"/>
    <row r="1138"/>
    <row r="1139"/>
    <row r="1140"/>
    <row r="1141"/>
    <row r="1142"/>
    <row r="1143"/>
    <row r="1144"/>
    <row r="1145"/>
    <row r="1146"/>
    <row r="1147"/>
    <row r="1148"/>
    <row r="1149"/>
    <row r="1150"/>
    <row r="1151"/>
    <row r="1152"/>
    <row r="1153"/>
    <row r="1154"/>
    <row r="1155"/>
    <row r="1156"/>
    <row r="1157"/>
    <row r="1158"/>
    <row r="1159"/>
    <row r="1160"/>
    <row r="1161"/>
    <row r="1162"/>
    <row r="1163"/>
    <row r="1164"/>
    <row r="1165"/>
    <row r="1166"/>
    <row r="1167"/>
    <row r="1168"/>
    <row r="1169"/>
    <row r="1170"/>
    <row r="1171"/>
    <row r="1172"/>
    <row r="1173"/>
    <row r="1174"/>
    <row r="1175"/>
    <row r="1176"/>
    <row r="1177"/>
    <row r="1178"/>
    <row r="1179"/>
    <row r="1180"/>
    <row r="1181"/>
    <row r="1182"/>
    <row r="1183"/>
    <row r="1184"/>
    <row r="1185"/>
    <row r="1186"/>
    <row r="1187"/>
    <row r="1188"/>
    <row r="1189"/>
    <row r="1190"/>
    <row r="1191"/>
    <row r="1192"/>
    <row r="1193"/>
    <row r="1194"/>
    <row r="1195"/>
    <row r="1196"/>
    <row r="1197"/>
    <row r="1198"/>
    <row r="1199"/>
    <row r="1200"/>
    <row r="1201"/>
    <row r="1202"/>
    <row r="1203"/>
    <row r="1204"/>
    <row r="1205"/>
    <row r="1206"/>
    <row r="1207"/>
    <row r="1208"/>
    <row r="1209"/>
    <row r="1210"/>
    <row r="1211"/>
    <row r="1212"/>
    <row r="1213"/>
    <row r="1214"/>
    <row r="1215"/>
    <row r="1216"/>
    <row r="1217"/>
    <row r="1218"/>
    <row r="1219"/>
    <row r="1220"/>
    <row r="1221"/>
    <row r="1222"/>
    <row r="1223"/>
    <row r="1224"/>
    <row r="1225"/>
    <row r="1226"/>
    <row r="1227"/>
    <row r="1228"/>
    <row r="1229"/>
    <row r="1230"/>
    <row r="1231"/>
    <row r="1232"/>
    <row r="1233"/>
    <row r="1234"/>
    <row r="1235"/>
    <row r="1236"/>
    <row r="1237"/>
    <row r="1238"/>
    <row r="1239"/>
    <row r="1240"/>
    <row r="1241"/>
    <row r="1242"/>
    <row r="1243"/>
    <row r="1244"/>
    <row r="1245"/>
    <row r="1246"/>
    <row r="1247"/>
    <row r="1248"/>
    <row r="1249"/>
    <row r="1250"/>
    <row r="1251"/>
    <row r="1252"/>
    <row r="1253"/>
    <row r="1254"/>
    <row r="1255"/>
    <row r="1256"/>
    <row r="1257"/>
    <row r="1258"/>
    <row r="1259"/>
    <row r="1260"/>
    <row r="1261"/>
    <row r="1262"/>
    <row r="1263"/>
    <row r="1264"/>
    <row r="1265"/>
    <row r="1266"/>
    <row r="1267"/>
    <row r="1268"/>
    <row r="1269"/>
    <row r="1270"/>
    <row r="1271"/>
    <row r="1272"/>
    <row r="1273"/>
    <row r="1274"/>
    <row r="1275"/>
    <row r="1276"/>
    <row r="1277"/>
    <row r="1278"/>
    <row r="1279"/>
    <row r="1280"/>
    <row r="1281"/>
    <row r="1282"/>
    <row r="1283"/>
    <row r="1284"/>
    <row r="1285"/>
    <row r="1286"/>
    <row r="1287"/>
    <row r="1288"/>
    <row r="1289"/>
    <row r="1290"/>
    <row r="1291"/>
    <row r="1292"/>
    <row r="1293"/>
    <row r="1294"/>
    <row r="1295"/>
    <row r="1296"/>
    <row r="1297"/>
    <row r="1298"/>
    <row r="1299"/>
    <row r="1300"/>
    <row r="1301"/>
    <row r="1302"/>
    <row r="1303"/>
    <row r="1304"/>
    <row r="1305"/>
    <row r="1306"/>
    <row r="1307"/>
    <row r="1308"/>
    <row r="1309"/>
    <row r="1310"/>
    <row r="1311"/>
    <row r="1312"/>
    <row r="1313"/>
    <row r="1314"/>
    <row r="1315"/>
    <row r="1316"/>
    <row r="1317"/>
    <row r="1318"/>
    <row r="1319"/>
    <row r="1320"/>
    <row r="1321"/>
    <row r="1322"/>
    <row r="1323"/>
    <row r="1324"/>
    <row r="1325"/>
    <row r="1326"/>
    <row r="1327"/>
    <row r="1328"/>
    <row r="1329"/>
    <row r="1330"/>
    <row r="1331"/>
    <row r="1332"/>
    <row r="1333"/>
    <row r="1334"/>
    <row r="1335"/>
    <row r="1336"/>
    <row r="1337"/>
    <row r="1338"/>
    <row r="1339"/>
    <row r="1340"/>
    <row r="1341"/>
    <row r="1342"/>
    <row r="1343"/>
    <row r="1344"/>
    <row r="1345"/>
    <row r="1346"/>
    <row r="1347"/>
    <row r="1348"/>
    <row r="1349"/>
    <row r="1350"/>
    <row r="1351"/>
    <row r="1352"/>
    <row r="1353"/>
    <row r="1354"/>
    <row r="1355"/>
    <row r="1356"/>
    <row r="1357"/>
    <row r="1358"/>
    <row r="1359"/>
    <row r="1360"/>
    <row r="1361"/>
    <row r="1362"/>
    <row r="1363"/>
    <row r="1364"/>
    <row r="1365"/>
    <row r="1366"/>
    <row r="1367"/>
    <row r="1368"/>
    <row r="1369"/>
    <row r="1370"/>
    <row r="1371"/>
    <row r="1372"/>
    <row r="1373"/>
    <row r="1374"/>
    <row r="1375"/>
    <row r="1376"/>
    <row r="1377"/>
    <row r="1378"/>
    <row r="1379"/>
    <row r="1380"/>
    <row r="1381"/>
    <row r="1382"/>
    <row r="1383"/>
    <row r="1384"/>
    <row r="1385"/>
    <row r="1386"/>
    <row r="1387"/>
    <row r="1388"/>
    <row r="1389"/>
    <row r="1390"/>
    <row r="1391"/>
    <row r="1392"/>
    <row r="1393"/>
    <row r="1394"/>
    <row r="1395"/>
    <row r="1396"/>
    <row r="1397"/>
    <row r="1398"/>
    <row r="1399"/>
    <row r="1400"/>
    <row r="1401"/>
    <row r="1402"/>
    <row r="1403"/>
    <row r="1404"/>
    <row r="1405"/>
    <row r="1406"/>
    <row r="1407"/>
    <row r="1408"/>
    <row r="1409"/>
    <row r="1410"/>
    <row r="1411"/>
    <row r="1412"/>
    <row r="1413"/>
    <row r="1414"/>
    <row r="1415"/>
    <row r="1416"/>
    <row r="1417"/>
    <row r="1418"/>
    <row r="1419"/>
    <row r="1420"/>
    <row r="1421"/>
    <row r="1422"/>
    <row r="1423"/>
    <row r="1424"/>
    <row r="1425"/>
    <row r="1426"/>
    <row r="1427"/>
    <row r="1428"/>
    <row r="1429"/>
    <row r="1430"/>
    <row r="1431"/>
    <row r="1432"/>
    <row r="1433"/>
    <row r="1434"/>
    <row r="1435"/>
    <row r="1436"/>
    <row r="1437"/>
    <row r="1438"/>
    <row r="1439"/>
    <row r="1440"/>
    <row r="1441"/>
    <row r="1442"/>
    <row r="1443"/>
    <row r="1444"/>
    <row r="1445"/>
    <row r="1446"/>
    <row r="1447"/>
    <row r="1448"/>
    <row r="1449"/>
    <row r="1450"/>
    <row r="1451"/>
    <row r="1452"/>
    <row r="1453"/>
    <row r="1454"/>
    <row r="1455"/>
    <row r="1456"/>
    <row r="1457"/>
    <row r="1458"/>
    <row r="1459"/>
    <row r="1460"/>
    <row r="1461"/>
    <row r="1462"/>
    <row r="1463"/>
    <row r="1464"/>
    <row r="1465"/>
    <row r="1466"/>
    <row r="1467"/>
    <row r="1468"/>
    <row r="1469"/>
    <row r="1470"/>
    <row r="1471"/>
    <row r="1472"/>
    <row r="1473"/>
    <row r="1474"/>
    <row r="1475"/>
    <row r="1476"/>
    <row r="1477"/>
    <row r="1478"/>
    <row r="1479"/>
    <row r="1480"/>
    <row r="1481"/>
    <row r="1482"/>
    <row r="1483"/>
    <row r="1484"/>
    <row r="1485"/>
    <row r="1486"/>
    <row r="1487"/>
    <row r="1488"/>
    <row r="1489"/>
    <row r="1490"/>
    <row r="1491"/>
    <row r="1492"/>
    <row r="1493"/>
    <row r="1494"/>
    <row r="1495"/>
    <row r="1496"/>
    <row r="1497"/>
    <row r="1498"/>
    <row r="1499"/>
    <row r="1500"/>
    <row r="1501"/>
    <row r="1502"/>
    <row r="1503"/>
    <row r="1504"/>
    <row r="1505"/>
    <row r="1506"/>
    <row r="1507"/>
    <row r="1508"/>
    <row r="1509"/>
    <row r="1510"/>
    <row r="1511"/>
    <row r="1512"/>
    <row r="1513"/>
    <row r="1514"/>
    <row r="1515"/>
    <row r="1516"/>
    <row r="1517"/>
    <row r="1518"/>
    <row r="1519"/>
    <row r="1520"/>
    <row r="1521"/>
    <row r="1522"/>
    <row r="1523"/>
    <row r="1524"/>
    <row r="1525"/>
    <row r="1526"/>
    <row r="1527"/>
    <row r="1528"/>
    <row r="1529"/>
    <row r="1530"/>
    <row r="1531"/>
    <row r="1532"/>
    <row r="1533"/>
    <row r="1534"/>
    <row r="1535"/>
    <row r="1536"/>
    <row r="1537"/>
    <row r="1538"/>
    <row r="1539"/>
    <row r="1540"/>
    <row r="1541"/>
    <row r="1542"/>
    <row r="1543"/>
    <row r="1544"/>
    <row r="1545"/>
    <row r="1546"/>
    <row r="1547"/>
    <row r="1548"/>
    <row r="1549"/>
    <row r="1550"/>
    <row r="1551"/>
    <row r="1552"/>
    <row r="1553"/>
    <row r="1554"/>
    <row r="1555"/>
    <row r="1556"/>
    <row r="1557"/>
    <row r="1558"/>
    <row r="1559"/>
    <row r="1560"/>
    <row r="1561"/>
    <row r="1562"/>
    <row r="1563"/>
    <row r="1564"/>
    <row r="1565"/>
    <row r="1566"/>
    <row r="1567"/>
    <row r="1568"/>
    <row r="1569"/>
    <row r="1570"/>
    <row r="1571"/>
    <row r="1572"/>
    <row r="1573"/>
    <row r="1574"/>
    <row r="1575"/>
    <row r="1576"/>
    <row r="1577"/>
    <row r="1578"/>
    <row r="1579"/>
    <row r="1580"/>
    <row r="1581"/>
    <row r="1582"/>
    <row r="1583"/>
    <row r="1584"/>
    <row r="1585"/>
    <row r="1586"/>
    <row r="1587"/>
    <row r="1588"/>
    <row r="1589"/>
    <row r="1590"/>
    <row r="1591"/>
    <row r="1592"/>
    <row r="1593"/>
    <row r="1594"/>
    <row r="1595"/>
    <row r="1596"/>
    <row r="1597"/>
    <row r="1598"/>
    <row r="1599"/>
    <row r="1600"/>
    <row r="1601"/>
    <row r="1602"/>
    <row r="1603"/>
    <row r="1604"/>
    <row r="1605"/>
    <row r="1606"/>
    <row r="1607"/>
    <row r="1608"/>
    <row r="1609"/>
    <row r="1610"/>
    <row r="1611"/>
    <row r="1612"/>
    <row r="1613"/>
    <row r="1614"/>
    <row r="1615"/>
    <row r="1616"/>
    <row r="1617"/>
    <row r="1618"/>
    <row r="1619"/>
    <row r="1620"/>
    <row r="1621"/>
    <row r="1622"/>
    <row r="1623"/>
    <row r="1624"/>
    <row r="1625"/>
    <row r="1626"/>
    <row r="1627"/>
    <row r="1628"/>
    <row r="1629"/>
    <row r="1630"/>
    <row r="1631"/>
    <row r="1632"/>
    <row r="1633"/>
    <row r="1634"/>
    <row r="1635"/>
    <row r="1636"/>
    <row r="1637"/>
    <row r="1638"/>
    <row r="1639"/>
    <row r="1640"/>
    <row r="1641"/>
    <row r="1642"/>
    <row r="1643"/>
    <row r="1644"/>
    <row r="1645"/>
    <row r="1646"/>
    <row r="1647"/>
    <row r="1648"/>
    <row r="1649"/>
    <row r="1650"/>
    <row r="1651"/>
    <row r="1652"/>
    <row r="1653"/>
    <row r="1654"/>
    <row r="1655"/>
    <row r="1656"/>
    <row r="1657"/>
    <row r="1658"/>
    <row r="1659"/>
    <row r="1660"/>
    <row r="1661"/>
    <row r="1662"/>
    <row r="1663"/>
    <row r="1664"/>
    <row r="1665"/>
    <row r="1666"/>
    <row r="1667"/>
    <row r="1668"/>
    <row r="1669"/>
    <row r="1670"/>
    <row r="1671"/>
    <row r="1672"/>
    <row r="1673"/>
    <row r="1674"/>
    <row r="1675"/>
    <row r="1676"/>
    <row r="1677"/>
    <row r="1678"/>
    <row r="1679"/>
    <row r="1680"/>
    <row r="1681"/>
    <row r="1682"/>
    <row r="1683"/>
    <row r="1684"/>
    <row r="1685"/>
    <row r="1686"/>
    <row r="1687"/>
    <row r="1688"/>
    <row r="1689"/>
    <row r="1690"/>
    <row r="1691"/>
    <row r="1692"/>
    <row r="1693"/>
    <row r="1694"/>
    <row r="1695"/>
    <row r="1696"/>
    <row r="1697"/>
    <row r="1698"/>
    <row r="1699"/>
    <row r="1700"/>
    <row r="1701"/>
    <row r="1702"/>
    <row r="1703"/>
    <row r="1704"/>
    <row r="1705"/>
    <row r="1706"/>
    <row r="1707"/>
    <row r="1708"/>
    <row r="1709"/>
    <row r="1710"/>
    <row r="1711"/>
    <row r="1712"/>
    <row r="1713"/>
    <row r="1714"/>
    <row r="1715"/>
    <row r="1716"/>
    <row r="1717"/>
    <row r="1718"/>
    <row r="1719"/>
    <row r="1720"/>
    <row r="1721"/>
    <row r="1722"/>
    <row r="1723"/>
    <row r="1724"/>
    <row r="1725"/>
    <row r="1726"/>
    <row r="1727"/>
    <row r="1728"/>
    <row r="1729"/>
    <row r="1730"/>
    <row r="1731"/>
    <row r="1732"/>
    <row r="1733"/>
    <row r="1734"/>
    <row r="1735"/>
    <row r="1736"/>
    <row r="1737"/>
    <row r="1738"/>
    <row r="1739"/>
    <row r="1740"/>
    <row r="1741"/>
    <row r="1742"/>
    <row r="1743"/>
    <row r="1744"/>
    <row r="1745"/>
    <row r="1746"/>
    <row r="1747"/>
    <row r="1748"/>
    <row r="1749"/>
    <row r="1750"/>
    <row r="1751"/>
    <row r="1752"/>
    <row r="1753"/>
    <row r="1754"/>
    <row r="1755"/>
    <row r="1756"/>
    <row r="1757"/>
    <row r="1758"/>
    <row r="1759"/>
    <row r="1760"/>
    <row r="1761"/>
    <row r="1762"/>
    <row r="1763"/>
    <row r="1764"/>
    <row r="1765"/>
    <row r="1766"/>
    <row r="1767"/>
    <row r="1768"/>
    <row r="1769"/>
    <row r="1770"/>
    <row r="1771"/>
    <row r="1772"/>
    <row r="1773"/>
    <row r="1774"/>
    <row r="1775"/>
    <row r="1776"/>
    <row r="1777"/>
    <row r="1778"/>
    <row r="1779"/>
    <row r="1780"/>
    <row r="1781"/>
    <row r="1782"/>
    <row r="1783"/>
    <row r="1784"/>
    <row r="1785"/>
    <row r="1786"/>
    <row r="1787"/>
    <row r="1788"/>
    <row r="1789"/>
    <row r="1790"/>
    <row r="1791"/>
    <row r="1792"/>
    <row r="1793"/>
    <row r="1794"/>
    <row r="1795"/>
    <row r="1796"/>
    <row r="1797"/>
    <row r="1798"/>
    <row r="1799"/>
    <row r="1800"/>
    <row r="1801"/>
    <row r="1802"/>
    <row r="1803"/>
    <row r="1804"/>
    <row r="1805"/>
    <row r="1806"/>
    <row r="1807"/>
    <row r="1808"/>
    <row r="1809"/>
    <row r="1810"/>
    <row r="1811"/>
    <row r="1812"/>
    <row r="1813"/>
    <row r="1814"/>
    <row r="1815"/>
    <row r="1816"/>
    <row r="1817"/>
    <row r="1818"/>
    <row r="1819"/>
    <row r="1820"/>
    <row r="1821"/>
    <row r="1822"/>
    <row r="1823"/>
    <row r="1824"/>
    <row r="1825"/>
    <row r="1826"/>
    <row r="1827"/>
    <row r="1828"/>
    <row r="1829"/>
    <row r="1830"/>
    <row r="1831"/>
    <row r="1832"/>
    <row r="1833"/>
    <row r="1834"/>
    <row r="1835"/>
    <row r="1836"/>
    <row r="1837"/>
    <row r="1838"/>
    <row r="1839"/>
    <row r="1840"/>
    <row r="1841"/>
    <row r="1842"/>
    <row r="1843"/>
    <row r="1844"/>
    <row r="1845"/>
    <row r="1846"/>
    <row r="1847"/>
    <row r="1848"/>
    <row r="1849"/>
    <row r="1850"/>
    <row r="1851"/>
    <row r="1852"/>
    <row r="1853"/>
    <row r="1854"/>
    <row r="1855"/>
    <row r="1856"/>
    <row r="1857"/>
    <row r="1858"/>
    <row r="1859"/>
    <row r="1860"/>
    <row r="1861"/>
    <row r="1862"/>
    <row r="1863"/>
    <row r="1864"/>
    <row r="1865"/>
    <row r="1866"/>
    <row r="1867"/>
    <row r="1868"/>
    <row r="1869"/>
    <row r="1870"/>
    <row r="1871"/>
    <row r="1872"/>
    <row r="1873"/>
    <row r="1874"/>
    <row r="1875"/>
    <row r="1876"/>
    <row r="1877"/>
    <row r="1878"/>
    <row r="1879"/>
    <row r="1880"/>
    <row r="1881"/>
    <row r="1882"/>
    <row r="1883"/>
    <row r="1884"/>
    <row r="1885"/>
    <row r="1886"/>
    <row r="1887"/>
    <row r="1888"/>
    <row r="1889"/>
    <row r="1890"/>
    <row r="1891"/>
    <row r="1892"/>
    <row r="1893"/>
    <row r="1894"/>
    <row r="1895"/>
    <row r="1896"/>
    <row r="1897"/>
    <row r="1898"/>
    <row r="1899"/>
    <row r="1900"/>
    <row r="1901"/>
    <row r="1902"/>
    <row r="1903"/>
    <row r="1904"/>
    <row r="1905"/>
    <row r="1906"/>
    <row r="1907"/>
    <row r="1908"/>
    <row r="1909"/>
    <row r="1910"/>
    <row r="1911"/>
    <row r="1912"/>
    <row r="1913"/>
    <row r="1914"/>
    <row r="1915"/>
    <row r="1916"/>
    <row r="1917"/>
    <row r="1918"/>
    <row r="1919"/>
    <row r="1920"/>
    <row r="1921"/>
    <row r="1922"/>
    <row r="1923"/>
    <row r="1924"/>
    <row r="1925"/>
    <row r="1926"/>
    <row r="1927"/>
    <row r="1928"/>
    <row r="1929"/>
    <row r="1930"/>
    <row r="1931"/>
    <row r="1932"/>
    <row r="1933"/>
    <row r="1934"/>
    <row r="1935"/>
    <row r="1936"/>
    <row r="1937"/>
    <row r="1938"/>
    <row r="1939"/>
    <row r="1940"/>
    <row r="1941"/>
    <row r="1942"/>
    <row r="1943"/>
    <row r="1944"/>
    <row r="1945"/>
    <row r="1946"/>
    <row r="1947"/>
    <row r="1948"/>
    <row r="1949"/>
    <row r="1950"/>
    <row r="1951"/>
    <row r="1952"/>
    <row r="1953"/>
    <row r="1954"/>
    <row r="1955"/>
    <row r="1956"/>
    <row r="1957"/>
    <row r="1958"/>
    <row r="1959"/>
    <row r="1960"/>
    <row r="1961"/>
    <row r="1962"/>
    <row r="1963"/>
    <row r="1964"/>
    <row r="1965"/>
    <row r="1966"/>
    <row r="1967"/>
    <row r="1968"/>
    <row r="1969"/>
    <row r="1970"/>
    <row r="1971"/>
    <row r="1972"/>
    <row r="1973"/>
    <row r="1974"/>
    <row r="1975"/>
    <row r="1976"/>
    <row r="1977"/>
    <row r="1978"/>
    <row r="1979"/>
    <row r="1980"/>
    <row r="1981"/>
    <row r="1982"/>
    <row r="1983"/>
    <row r="1984"/>
    <row r="1985"/>
    <row r="1986"/>
    <row r="1987"/>
    <row r="1988"/>
    <row r="1989"/>
    <row r="1990"/>
    <row r="1991"/>
    <row r="1992"/>
    <row r="1993"/>
    <row r="1994"/>
    <row r="1995"/>
    <row r="1996"/>
    <row r="1997"/>
    <row r="1998"/>
    <row r="1999"/>
    <row r="2000"/>
    <row r="2001"/>
    <row r="2002"/>
    <row r="2003"/>
    <row r="2004"/>
    <row r="2005"/>
    <row r="2006"/>
    <row r="2007"/>
    <row r="2008"/>
    <row r="2009"/>
    <row r="2010"/>
    <row r="2011"/>
    <row r="2012"/>
    <row r="2013"/>
    <row r="2014"/>
    <row r="2015"/>
    <row r="2016"/>
    <row r="2017"/>
    <row r="2018"/>
    <row r="2019"/>
    <row r="2020"/>
    <row r="2021"/>
    <row r="2022"/>
    <row r="2023"/>
    <row r="2024"/>
    <row r="2025"/>
    <row r="2026"/>
    <row r="2027"/>
    <row r="2028"/>
    <row r="2029"/>
    <row r="2030"/>
    <row r="2031"/>
    <row r="2032"/>
    <row r="2033"/>
    <row r="2034"/>
    <row r="2035"/>
    <row r="2036"/>
    <row r="2037"/>
    <row r="2038"/>
    <row r="2039"/>
    <row r="2040"/>
    <row r="2041"/>
    <row r="2042"/>
    <row r="2043"/>
    <row r="2044"/>
    <row r="2045"/>
    <row r="2046"/>
    <row r="2047"/>
    <row r="2048"/>
    <row r="2049"/>
    <row r="2050"/>
    <row r="2051"/>
    <row r="2052"/>
    <row r="2053"/>
    <row r="2054"/>
    <row r="2055"/>
    <row r="2056"/>
    <row r="2057"/>
    <row r="2058"/>
    <row r="2059"/>
    <row r="2060"/>
    <row r="2061"/>
    <row r="2062"/>
    <row r="2063"/>
    <row r="2064"/>
    <row r="2065"/>
    <row r="2066"/>
    <row r="2067"/>
    <row r="2068"/>
    <row r="2069"/>
    <row r="2070"/>
    <row r="2071"/>
    <row r="2072"/>
    <row r="2073"/>
    <row r="2074"/>
    <row r="2075"/>
    <row r="2076"/>
    <row r="2077"/>
    <row r="2078"/>
    <row r="2079"/>
    <row r="2080"/>
    <row r="2081"/>
    <row r="2082"/>
    <row r="2083"/>
    <row r="2084"/>
    <row r="2085"/>
    <row r="2086"/>
    <row r="2087"/>
    <row r="2088"/>
    <row r="2089"/>
    <row r="2090"/>
    <row r="2091"/>
    <row r="2092"/>
    <row r="2093"/>
    <row r="2094"/>
    <row r="2095"/>
    <row r="2096"/>
    <row r="2097"/>
    <row r="2098"/>
    <row r="2099"/>
    <row r="2100"/>
    <row r="2101"/>
    <row r="2102"/>
    <row r="2103"/>
    <row r="2104"/>
    <row r="2105"/>
    <row r="2106"/>
    <row r="2107"/>
    <row r="2108"/>
    <row r="2109"/>
    <row r="2110"/>
    <row r="2111"/>
    <row r="2112"/>
    <row r="2113"/>
    <row r="2114"/>
    <row r="2115"/>
    <row r="2116"/>
    <row r="2117"/>
    <row r="2118"/>
    <row r="2119"/>
    <row r="2120"/>
    <row r="2121"/>
    <row r="2122"/>
    <row r="2123"/>
    <row r="2124"/>
    <row r="2125"/>
    <row r="2126"/>
    <row r="2127"/>
    <row r="2128"/>
    <row r="2129"/>
    <row r="2130"/>
    <row r="2131"/>
    <row r="2132"/>
    <row r="2133"/>
    <row r="2134"/>
    <row r="2135"/>
    <row r="2136"/>
    <row r="2137"/>
    <row r="2138"/>
    <row r="2139"/>
    <row r="2140"/>
    <row r="2141"/>
    <row r="2142"/>
    <row r="2143"/>
    <row r="2144"/>
    <row r="2145"/>
    <row r="2146"/>
    <row r="2147"/>
    <row r="2148"/>
    <row r="2149"/>
    <row r="2150"/>
    <row r="2151"/>
    <row r="2152"/>
    <row r="2153"/>
    <row r="2154"/>
    <row r="2155"/>
    <row r="2156"/>
    <row r="2157"/>
    <row r="2158"/>
    <row r="2159"/>
    <row r="2160"/>
    <row r="2161"/>
    <row r="2162"/>
    <row r="2163"/>
    <row r="2164"/>
    <row r="2165"/>
    <row r="2166"/>
    <row r="2167"/>
    <row r="2168"/>
    <row r="2169"/>
    <row r="2170"/>
    <row r="2171"/>
    <row r="2172"/>
    <row r="2173"/>
    <row r="2174"/>
    <row r="2175"/>
    <row r="2176"/>
    <row r="2177"/>
    <row r="2178"/>
    <row r="2179"/>
    <row r="2180"/>
    <row r="2181"/>
    <row r="2182"/>
    <row r="2183"/>
    <row r="2184"/>
    <row r="2185"/>
    <row r="2186"/>
    <row r="2187"/>
    <row r="2188"/>
    <row r="2189"/>
    <row r="2190"/>
    <row r="2191"/>
    <row r="2192"/>
    <row r="2193"/>
    <row r="2194"/>
    <row r="2195"/>
    <row r="2196"/>
    <row r="2197"/>
    <row r="2198"/>
    <row r="2199"/>
    <row r="2200"/>
    <row r="2201"/>
    <row r="2202"/>
    <row r="2203"/>
    <row r="2204"/>
    <row r="2205"/>
    <row r="2206"/>
    <row r="2207"/>
    <row r="2208"/>
    <row r="2209"/>
    <row r="2210"/>
    <row r="2211"/>
    <row r="2212"/>
    <row r="2213"/>
    <row r="2214"/>
    <row r="2215"/>
    <row r="2216"/>
    <row r="2217"/>
    <row r="2218"/>
    <row r="2219"/>
    <row r="2220"/>
    <row r="2221"/>
    <row r="2222"/>
    <row r="2223"/>
    <row r="2224"/>
    <row r="2225"/>
    <row r="2226"/>
    <row r="2227"/>
    <row r="2228"/>
    <row r="2229"/>
    <row r="2230"/>
    <row r="2231"/>
    <row r="2232"/>
    <row r="2233"/>
    <row r="2234"/>
    <row r="2235"/>
    <row r="2236"/>
    <row r="2237"/>
    <row r="2238"/>
    <row r="2239"/>
    <row r="2240"/>
    <row r="2241"/>
    <row r="2242"/>
    <row r="2243"/>
    <row r="2244"/>
    <row r="2245"/>
    <row r="2246"/>
    <row r="2247"/>
    <row r="2248"/>
    <row r="2249"/>
    <row r="2250"/>
    <row r="2251"/>
    <row r="2252"/>
    <row r="2253"/>
    <row r="2254"/>
    <row r="2255"/>
    <row r="2256"/>
    <row r="2257"/>
    <row r="2258"/>
    <row r="2259"/>
    <row r="2260"/>
    <row r="2261"/>
    <row r="2262"/>
    <row r="2263"/>
    <row r="2264"/>
    <row r="2265"/>
    <row r="2266"/>
    <row r="2267"/>
    <row r="2268"/>
    <row r="2269"/>
    <row r="2270"/>
    <row r="2271"/>
    <row r="2272"/>
    <row r="2273"/>
    <row r="2274"/>
    <row r="2275"/>
    <row r="2276"/>
    <row r="2277"/>
    <row r="2278"/>
    <row r="2279"/>
    <row r="2280"/>
    <row r="2281"/>
    <row r="2282"/>
    <row r="2283"/>
    <row r="2284"/>
    <row r="2285"/>
    <row r="2286"/>
    <row r="2287"/>
    <row r="2288"/>
    <row r="2289"/>
    <row r="2290"/>
    <row r="2291"/>
    <row r="2292"/>
    <row r="2293"/>
    <row r="2294"/>
    <row r="2295"/>
    <row r="2296"/>
    <row r="2297"/>
    <row r="2298"/>
    <row r="2299"/>
    <row r="2300"/>
    <row r="2301"/>
    <row r="2302"/>
    <row r="2303"/>
    <row r="2304"/>
    <row r="2305"/>
    <row r="2306"/>
    <row r="2307"/>
    <row r="2308"/>
    <row r="2309"/>
    <row r="2310"/>
    <row r="2311"/>
    <row r="2312"/>
    <row r="2313"/>
    <row r="2314"/>
    <row r="2315"/>
    <row r="2316"/>
    <row r="2317"/>
    <row r="2318"/>
    <row r="2319"/>
    <row r="2320"/>
    <row r="2321"/>
    <row r="2322"/>
    <row r="2323"/>
    <row r="2324"/>
    <row r="2325"/>
    <row r="2326"/>
    <row r="2327"/>
    <row r="2328"/>
    <row r="2329"/>
    <row r="2330"/>
    <row r="2331"/>
    <row r="2332"/>
    <row r="2333"/>
    <row r="2334"/>
    <row r="2335"/>
    <row r="2336"/>
    <row r="2337"/>
    <row r="2338"/>
    <row r="2339"/>
    <row r="2340"/>
    <row r="2341"/>
    <row r="2342"/>
    <row r="2343"/>
    <row r="2344"/>
    <row r="2345"/>
    <row r="2346"/>
    <row r="2347"/>
    <row r="2348"/>
    <row r="2349"/>
    <row r="2350"/>
    <row r="2351"/>
    <row r="2352"/>
    <row r="2353"/>
    <row r="2354"/>
    <row r="2355"/>
    <row r="2356"/>
    <row r="2357"/>
    <row r="2358"/>
    <row r="2359"/>
    <row r="2360"/>
    <row r="2361"/>
    <row r="2362"/>
    <row r="2363"/>
    <row r="2364"/>
    <row r="2365"/>
    <row r="2366"/>
    <row r="2367"/>
    <row r="2368"/>
    <row r="2369"/>
    <row r="2370"/>
    <row r="2371"/>
    <row r="2372"/>
    <row r="2373"/>
    <row r="2374"/>
    <row r="2375"/>
    <row r="2376"/>
    <row r="2377"/>
    <row r="2378"/>
    <row r="2379"/>
    <row r="2380"/>
    <row r="2381"/>
    <row r="2382"/>
    <row r="2383"/>
    <row r="2384"/>
    <row r="2385"/>
    <row r="2386"/>
    <row r="2387"/>
    <row r="2388"/>
    <row r="2389"/>
    <row r="2390"/>
    <row r="2391"/>
    <row r="2392"/>
    <row r="2393"/>
    <row r="2394"/>
    <row r="2395"/>
    <row r="2396"/>
    <row r="2397"/>
    <row r="2398"/>
    <row r="2399"/>
    <row r="2400"/>
    <row r="2401"/>
    <row r="2402"/>
    <row r="2403"/>
    <row r="2404"/>
    <row r="2405"/>
    <row r="2406"/>
    <row r="2407"/>
    <row r="2408"/>
    <row r="2409"/>
    <row r="2410"/>
    <row r="2411"/>
    <row r="2412"/>
    <row r="2413"/>
    <row r="2414"/>
    <row r="2415"/>
    <row r="2416"/>
    <row r="2417"/>
    <row r="2418"/>
    <row r="2419"/>
    <row r="2420"/>
    <row r="2421"/>
    <row r="2422"/>
    <row r="2423"/>
    <row r="2424"/>
    <row r="2425"/>
    <row r="2426"/>
    <row r="2427"/>
    <row r="2428"/>
    <row r="2429"/>
    <row r="2430"/>
    <row r="2431"/>
    <row r="2432"/>
    <row r="2433"/>
    <row r="2434"/>
    <row r="2435"/>
    <row r="2436"/>
    <row r="2437"/>
    <row r="2438"/>
    <row r="2439"/>
    <row r="2440"/>
    <row r="2441"/>
    <row r="2442"/>
    <row r="2443"/>
    <row r="2444"/>
    <row r="2445"/>
    <row r="2446"/>
    <row r="2447"/>
    <row r="2448"/>
    <row r="2449"/>
    <row r="2450"/>
    <row r="2451"/>
    <row r="2452"/>
    <row r="2453"/>
    <row r="2454"/>
    <row r="2455"/>
    <row r="2456"/>
    <row r="2457"/>
    <row r="2458"/>
    <row r="2459"/>
    <row r="2460"/>
    <row r="2461"/>
    <row r="2462"/>
    <row r="2463"/>
    <row r="2464"/>
    <row r="2465"/>
    <row r="2466"/>
    <row r="2467"/>
    <row r="2468"/>
    <row r="2469"/>
    <row r="2470"/>
    <row r="2471"/>
    <row r="2472"/>
    <row r="2473"/>
    <row r="2474"/>
    <row r="2475"/>
    <row r="2476"/>
    <row r="2477"/>
    <row r="2478"/>
    <row r="2479"/>
    <row r="2480"/>
    <row r="2481"/>
    <row r="2482"/>
    <row r="2483"/>
    <row r="2484"/>
    <row r="2485"/>
    <row r="2486"/>
    <row r="2487"/>
    <row r="2488"/>
    <row r="2489"/>
    <row r="2490"/>
    <row r="2491"/>
    <row r="2492"/>
    <row r="2493"/>
    <row r="2494"/>
    <row r="2495"/>
    <row r="2496"/>
    <row r="2497"/>
    <row r="2498"/>
    <row r="2499"/>
    <row r="2500"/>
    <row r="2501"/>
    <row r="2502"/>
    <row r="2503"/>
    <row r="2504"/>
    <row r="2505"/>
    <row r="2506"/>
    <row r="2507"/>
    <row r="2508"/>
    <row r="2509"/>
    <row r="2510"/>
    <row r="2511"/>
    <row r="2512"/>
    <row r="2513"/>
    <row r="2514"/>
    <row r="2515"/>
    <row r="2516"/>
    <row r="2517"/>
    <row r="2518"/>
    <row r="2519"/>
    <row r="2520"/>
    <row r="2521"/>
    <row r="2522"/>
    <row r="2523"/>
    <row r="2524"/>
    <row r="2525"/>
    <row r="2526"/>
    <row r="2527"/>
    <row r="2528"/>
    <row r="2529"/>
    <row r="2530"/>
    <row r="2531"/>
    <row r="2532"/>
    <row r="2533"/>
    <row r="2534"/>
    <row r="2535"/>
    <row r="2536"/>
    <row r="2537"/>
    <row r="2538"/>
    <row r="2539"/>
    <row r="2540"/>
    <row r="2541"/>
    <row r="2542"/>
    <row r="2543"/>
    <row r="2544"/>
    <row r="2545"/>
    <row r="2546"/>
    <row r="2547"/>
    <row r="2548"/>
    <row r="2549"/>
    <row r="2550"/>
    <row r="2551"/>
    <row r="2552"/>
    <row r="2553"/>
    <row r="2554"/>
    <row r="2555"/>
    <row r="2556"/>
    <row r="2557"/>
    <row r="2558"/>
    <row r="2559"/>
    <row r="2560"/>
    <row r="2561"/>
    <row r="2562"/>
    <row r="2563"/>
    <row r="2564"/>
    <row r="2565"/>
    <row r="2566"/>
    <row r="2567"/>
    <row r="2568"/>
    <row r="2569"/>
    <row r="2570"/>
    <row r="2571"/>
    <row r="2572"/>
    <row r="2573"/>
    <row r="2574"/>
    <row r="2575"/>
    <row r="2576"/>
    <row r="2577"/>
    <row r="2578"/>
    <row r="2579"/>
    <row r="2580"/>
    <row r="2581"/>
    <row r="2582"/>
    <row r="2583"/>
    <row r="2584"/>
    <row r="2585"/>
    <row r="2586"/>
    <row r="2587"/>
    <row r="2588"/>
    <row r="2589"/>
    <row r="2590"/>
    <row r="2591"/>
    <row r="2592"/>
    <row r="2593"/>
    <row r="2594"/>
    <row r="2595"/>
    <row r="2596"/>
    <row r="2597"/>
    <row r="2598"/>
    <row r="2599"/>
    <row r="2600"/>
    <row r="2601"/>
    <row r="2602"/>
    <row r="2603"/>
    <row r="2604"/>
    <row r="2605"/>
    <row r="2606"/>
    <row r="2607"/>
    <row r="2608"/>
    <row r="2609"/>
    <row r="2610"/>
    <row r="2611"/>
    <row r="2612"/>
    <row r="2613"/>
    <row r="2614"/>
    <row r="2615"/>
    <row r="2616"/>
    <row r="2617"/>
    <row r="2618"/>
    <row r="2619"/>
    <row r="2620"/>
    <row r="2621"/>
    <row r="2622"/>
    <row r="2623"/>
    <row r="2624"/>
    <row r="2625"/>
    <row r="2626"/>
    <row r="2627"/>
    <row r="2628"/>
    <row r="2629"/>
    <row r="2630"/>
    <row r="2631"/>
    <row r="2632"/>
    <row r="2633"/>
    <row r="2634"/>
    <row r="2635"/>
    <row r="2636"/>
    <row r="2637"/>
    <row r="2638"/>
    <row r="2639"/>
    <row r="2640"/>
    <row r="2641"/>
    <row r="2642"/>
    <row r="2643"/>
    <row r="2644"/>
    <row r="2645"/>
    <row r="2646"/>
    <row r="2647"/>
    <row r="2648"/>
    <row r="2649"/>
    <row r="2650"/>
    <row r="2651"/>
    <row r="2652"/>
    <row r="2653"/>
    <row r="2654"/>
    <row r="2655"/>
    <row r="2656"/>
    <row r="2657"/>
    <row r="2658"/>
    <row r="2659"/>
    <row r="2660"/>
    <row r="2661"/>
    <row r="2662"/>
    <row r="2663"/>
    <row r="2664"/>
    <row r="2665"/>
    <row r="2666"/>
    <row r="2667"/>
    <row r="2668"/>
    <row r="2669"/>
    <row r="2670"/>
    <row r="2671"/>
    <row r="2672"/>
    <row r="2673"/>
    <row r="2674"/>
    <row r="2675"/>
    <row r="2676"/>
    <row r="2677"/>
    <row r="2678"/>
    <row r="2679"/>
    <row r="2680"/>
    <row r="2681"/>
    <row r="2682"/>
    <row r="2683"/>
    <row r="2684"/>
    <row r="2685"/>
    <row r="2686"/>
    <row r="2687"/>
    <row r="2688"/>
    <row r="2689"/>
    <row r="2690"/>
    <row r="2691"/>
    <row r="2692"/>
    <row r="2693"/>
    <row r="2694"/>
    <row r="2695"/>
    <row r="2696"/>
    <row r="2697"/>
    <row r="2698"/>
    <row r="2699"/>
    <row r="2700"/>
    <row r="2701"/>
    <row r="2702"/>
    <row r="2703"/>
    <row r="2704"/>
    <row r="2705"/>
    <row r="2706"/>
    <row r="2707"/>
    <row r="2708"/>
    <row r="2709"/>
    <row r="2710"/>
    <row r="2711"/>
    <row r="2712"/>
    <row r="2713"/>
    <row r="2714"/>
    <row r="2715"/>
    <row r="2716"/>
    <row r="2717"/>
    <row r="2718"/>
    <row r="2719"/>
    <row r="2720"/>
    <row r="2721"/>
    <row r="2722"/>
    <row r="2723"/>
    <row r="2724"/>
    <row r="2725"/>
    <row r="2726"/>
    <row r="2727"/>
    <row r="2728"/>
    <row r="2729"/>
    <row r="2730"/>
    <row r="2731"/>
    <row r="2732"/>
    <row r="2733"/>
    <row r="2734"/>
    <row r="2735"/>
    <row r="2736"/>
    <row r="2737"/>
    <row r="2738"/>
    <row r="2739"/>
    <row r="2740"/>
    <row r="2741"/>
    <row r="2742"/>
    <row r="2743"/>
    <row r="2744"/>
    <row r="2745"/>
    <row r="2746"/>
    <row r="2747"/>
    <row r="2748"/>
    <row r="2749"/>
    <row r="2750"/>
    <row r="2751"/>
    <row r="2752"/>
    <row r="2753"/>
    <row r="2754"/>
    <row r="2755"/>
    <row r="2756"/>
    <row r="2757"/>
    <row r="2758"/>
    <row r="2759"/>
    <row r="2760"/>
    <row r="2761"/>
    <row r="2762"/>
    <row r="2763"/>
    <row r="2764"/>
    <row r="2765"/>
    <row r="2766"/>
    <row r="2767"/>
    <row r="2768"/>
    <row r="2769"/>
    <row r="2770"/>
    <row r="2771"/>
    <row r="2772"/>
    <row r="2773"/>
    <row r="2774"/>
    <row r="2775"/>
    <row r="2776"/>
    <row r="2777"/>
    <row r="2778"/>
    <row r="2779"/>
    <row r="2780"/>
    <row r="2781"/>
    <row r="2782"/>
    <row r="2783"/>
    <row r="2784"/>
    <row r="2785"/>
    <row r="2786"/>
    <row r="2787"/>
    <row r="2788"/>
    <row r="2789"/>
    <row r="2790"/>
    <row r="2791"/>
    <row r="2792"/>
    <row r="2793"/>
    <row r="2794"/>
    <row r="2795"/>
    <row r="2796"/>
    <row r="2797"/>
    <row r="2798"/>
    <row r="2799"/>
    <row r="2800"/>
    <row r="2801"/>
    <row r="2802"/>
    <row r="2803"/>
    <row r="2804"/>
    <row r="2805"/>
    <row r="2806"/>
    <row r="2807"/>
    <row r="2808"/>
    <row r="2809"/>
    <row r="2810"/>
    <row r="2811"/>
    <row r="2812"/>
    <row r="2813"/>
    <row r="2814"/>
    <row r="2815"/>
    <row r="2816"/>
    <row r="2817"/>
    <row r="2818"/>
    <row r="2819"/>
    <row r="2820"/>
    <row r="2821"/>
    <row r="2822"/>
    <row r="2823"/>
    <row r="2824"/>
    <row r="2825"/>
    <row r="2826"/>
    <row r="2827"/>
    <row r="2828"/>
    <row r="2829"/>
    <row r="2830"/>
    <row r="2831"/>
    <row r="2832"/>
    <row r="2833"/>
    <row r="2834"/>
    <row r="2835"/>
    <row r="2836"/>
    <row r="2837"/>
    <row r="2838"/>
    <row r="2839"/>
    <row r="2840"/>
    <row r="2841"/>
    <row r="2842"/>
    <row r="2843"/>
    <row r="2844"/>
    <row r="2845"/>
    <row r="2846"/>
    <row r="2847"/>
    <row r="2848"/>
    <row r="2849"/>
    <row r="2850"/>
    <row r="2851"/>
    <row r="2852"/>
    <row r="2853"/>
    <row r="2854"/>
    <row r="2855"/>
    <row r="2856"/>
    <row r="2857"/>
    <row r="2858"/>
    <row r="2859"/>
    <row r="2860"/>
    <row r="2861"/>
    <row r="2862"/>
    <row r="2863"/>
    <row r="2864"/>
    <row r="2865"/>
    <row r="2866"/>
    <row r="2867"/>
    <row r="2868"/>
    <row r="2869"/>
    <row r="2870"/>
    <row r="2871"/>
    <row r="2872"/>
    <row r="2873"/>
    <row r="2874"/>
    <row r="2875"/>
    <row r="2876"/>
    <row r="2877"/>
    <row r="2878"/>
    <row r="2879"/>
    <row r="2880"/>
    <row r="2881"/>
    <row r="2882"/>
    <row r="2883"/>
    <row r="2884"/>
    <row r="2885"/>
    <row r="2886"/>
    <row r="2887"/>
    <row r="2888"/>
    <row r="2889"/>
    <row r="2890"/>
    <row r="2891"/>
    <row r="2892"/>
    <row r="2893"/>
    <row r="2894"/>
    <row r="2895"/>
    <row r="2896"/>
    <row r="2897"/>
    <row r="2898"/>
    <row r="2899"/>
    <row r="2900"/>
    <row r="2901"/>
    <row r="2902"/>
    <row r="2903"/>
    <row r="2904"/>
    <row r="2905"/>
    <row r="2906"/>
    <row r="2907"/>
    <row r="2908"/>
    <row r="2909"/>
    <row r="2910"/>
    <row r="2911"/>
    <row r="2912"/>
    <row r="2913"/>
    <row r="2914"/>
    <row r="2915"/>
    <row r="2916"/>
    <row r="2917"/>
    <row r="2918"/>
    <row r="2919"/>
    <row r="2920"/>
    <row r="2921"/>
    <row r="2922"/>
    <row r="2923"/>
    <row r="2924"/>
    <row r="2925"/>
    <row r="2926"/>
    <row r="2927"/>
    <row r="2928"/>
    <row r="2929"/>
    <row r="2930"/>
    <row r="2931"/>
    <row r="2932"/>
    <row r="2933"/>
    <row r="2934"/>
    <row r="2935"/>
    <row r="2936"/>
    <row r="2937"/>
    <row r="2938"/>
    <row r="2939"/>
    <row r="2940"/>
    <row r="2941"/>
    <row r="2942"/>
    <row r="2943"/>
    <row r="2944"/>
    <row r="2945"/>
    <row r="2946"/>
    <row r="2947"/>
    <row r="2948"/>
    <row r="2949"/>
    <row r="2950"/>
    <row r="2951"/>
    <row r="2952"/>
    <row r="2953"/>
    <row r="2954"/>
    <row r="2955"/>
    <row r="2956"/>
    <row r="2957"/>
    <row r="2958"/>
    <row r="2959"/>
    <row r="2960"/>
    <row r="2961"/>
    <row r="2962"/>
    <row r="2963"/>
    <row r="2964"/>
    <row r="2965"/>
    <row r="2966"/>
    <row r="2967"/>
    <row r="2968"/>
    <row r="2969"/>
    <row r="2970"/>
    <row r="2971"/>
    <row r="2972"/>
    <row r="2973"/>
    <row r="2974"/>
    <row r="2975"/>
    <row r="2976"/>
    <row r="2977"/>
    <row r="2978"/>
    <row r="2979"/>
    <row r="2980"/>
    <row r="2981"/>
    <row r="2982"/>
    <row r="2983"/>
    <row r="2984"/>
    <row r="2985"/>
    <row r="2986"/>
    <row r="2987"/>
    <row r="2988"/>
    <row r="2989"/>
    <row r="2990"/>
    <row r="2991"/>
    <row r="2992"/>
    <row r="2993"/>
    <row r="2994"/>
    <row r="2995"/>
    <row r="2996"/>
    <row r="2997"/>
    <row r="2998"/>
    <row r="2999"/>
    <row r="3000"/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 codeName="Sheet2">
    <outlinePr summaryBelow="1" summaryRight="1"/>
    <pageSetUpPr/>
  </sheetPr>
  <dimension ref="A1:K15"/>
  <sheetViews>
    <sheetView rightToLeft="1" workbookViewId="0">
      <selection activeCell="B9" sqref="A9:B9"/>
    </sheetView>
  </sheetViews>
  <sheetFormatPr baseColWidth="8" defaultRowHeight="14.4"/>
  <cols>
    <col width="14.5546875" bestFit="1" customWidth="1" style="37" min="1" max="1"/>
    <col width="16.44140625" bestFit="1" customWidth="1" style="37" min="2" max="2"/>
    <col width="12.77734375" customWidth="1" style="37" min="3" max="3"/>
    <col width="12.44140625" bestFit="1" customWidth="1" style="37" min="9" max="9"/>
    <col width="16.44140625" bestFit="1" customWidth="1" style="37" min="11" max="11"/>
  </cols>
  <sheetData>
    <row r="1">
      <c r="A1" s="36" t="inlineStr">
        <is>
          <t>ارصدة العملاء</t>
        </is>
      </c>
      <c r="I1" s="36" t="inlineStr">
        <is>
          <t>ارصدة الموردين</t>
        </is>
      </c>
    </row>
    <row r="2">
      <c r="A2" s="2" t="inlineStr">
        <is>
          <t>الرصيد</t>
        </is>
      </c>
      <c r="B2" s="38">
        <f>SUM(B4:B3000)-SUM(C4:C3000)</f>
        <v/>
      </c>
      <c r="C2" s="39" t="n"/>
      <c r="I2" s="3" t="inlineStr">
        <is>
          <t>الرصيد</t>
        </is>
      </c>
      <c r="J2" s="38">
        <f>SUM(J4:J3000)-SUM(K4:K3000)</f>
        <v/>
      </c>
      <c r="K2" s="39" t="n"/>
    </row>
    <row r="3" ht="18" customHeight="1" s="37">
      <c r="A3" s="4" t="inlineStr">
        <is>
          <t>اسم العميل</t>
        </is>
      </c>
      <c r="B3" s="5" t="inlineStr">
        <is>
          <t>مدين</t>
        </is>
      </c>
      <c r="C3" s="5" t="inlineStr">
        <is>
          <t>دائن</t>
        </is>
      </c>
      <c r="I3" s="4" t="inlineStr">
        <is>
          <t>اسم المورد</t>
        </is>
      </c>
      <c r="J3" s="5" t="inlineStr">
        <is>
          <t>مدين</t>
        </is>
      </c>
      <c r="K3" s="5" t="inlineStr">
        <is>
          <t>دائن</t>
        </is>
      </c>
    </row>
    <row r="4" ht="18" customHeight="1" s="37">
      <c r="A4" s="6" t="inlineStr">
        <is>
          <t>خالد صبري</t>
        </is>
      </c>
      <c r="B4" s="7" t="n">
        <v>12993887.40350877</v>
      </c>
      <c r="C4" s="7" t="n">
        <v>0</v>
      </c>
      <c r="I4" s="6" t="inlineStr">
        <is>
          <t>ترانس سبلاي</t>
        </is>
      </c>
      <c r="J4" s="7" t="n">
        <v>0</v>
      </c>
      <c r="K4" s="7" t="n">
        <v>88986791.5</v>
      </c>
    </row>
    <row r="5" ht="18" customHeight="1" s="37">
      <c r="A5" s="6" t="inlineStr">
        <is>
          <t>سامكريت مصر</t>
        </is>
      </c>
      <c r="B5" s="7" t="n">
        <v>7031957.14280702</v>
      </c>
      <c r="C5" s="7" t="n">
        <v>0</v>
      </c>
    </row>
    <row r="6" ht="18" customHeight="1" s="37">
      <c r="A6" s="6" t="inlineStr">
        <is>
          <t>فالتور</t>
        </is>
      </c>
      <c r="B6" s="7" t="n">
        <v>39527797.25000001</v>
      </c>
      <c r="C6" s="7" t="n">
        <v>0</v>
      </c>
    </row>
    <row r="7" ht="18" customHeight="1" s="37">
      <c r="A7" s="6" t="inlineStr">
        <is>
          <t>ويكادي</t>
        </is>
      </c>
      <c r="B7" s="7" t="n">
        <v>7533524</v>
      </c>
      <c r="C7" s="7" t="n">
        <v>0</v>
      </c>
    </row>
    <row r="8" ht="18" customHeight="1" s="37">
      <c r="A8" s="6" t="inlineStr">
        <is>
          <t>بينتاكون</t>
        </is>
      </c>
      <c r="B8" s="7" t="n">
        <v>2017305</v>
      </c>
      <c r="C8" s="7" t="n">
        <v>0</v>
      </c>
    </row>
    <row r="9" ht="18" customHeight="1" s="37">
      <c r="A9" s="6" t="inlineStr">
        <is>
          <t>جي دبيو</t>
        </is>
      </c>
      <c r="B9" s="7" t="n">
        <v>0</v>
      </c>
      <c r="C9" s="7" t="n">
        <v>35015.06140350853</v>
      </c>
    </row>
    <row r="10" ht="18" customHeight="1" s="37">
      <c r="A10" s="6" t="inlineStr">
        <is>
          <t>بيراميدز</t>
        </is>
      </c>
      <c r="B10" s="7" t="n">
        <v>0</v>
      </c>
      <c r="C10" s="7" t="n">
        <v>4</v>
      </c>
    </row>
    <row r="11" ht="18" customHeight="1" s="37">
      <c r="A11" s="6" t="inlineStr">
        <is>
          <t>الشركة المتحده</t>
        </is>
      </c>
      <c r="B11" s="7" t="n">
        <v>17745354</v>
      </c>
      <c r="C11" s="7" t="n">
        <v>0</v>
      </c>
    </row>
    <row r="12">
      <c r="B12" s="8" t="n"/>
      <c r="C12" s="8" t="n"/>
    </row>
    <row r="13">
      <c r="B13" s="8" t="n"/>
      <c r="C13" s="8" t="n"/>
    </row>
    <row r="14">
      <c r="B14" s="8" t="n"/>
      <c r="C14" s="8" t="n"/>
    </row>
    <row r="15">
      <c r="B15" s="8" t="n"/>
      <c r="C15" s="8" t="n"/>
    </row>
  </sheetData>
  <mergeCells count="4">
    <mergeCell ref="A1:C1"/>
    <mergeCell ref="J2:K2"/>
    <mergeCell ref="B2:C2"/>
    <mergeCell ref="I1:K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 codeName="Sheet3">
    <outlinePr summaryBelow="1" summaryRight="1"/>
    <pageSetUpPr/>
  </sheetPr>
  <dimension ref="A1:L15"/>
  <sheetViews>
    <sheetView rightToLeft="1" workbookViewId="0">
      <selection activeCell="F7" sqref="F7"/>
    </sheetView>
  </sheetViews>
  <sheetFormatPr baseColWidth="8" defaultRowHeight="14.4"/>
  <cols>
    <col width="10.6640625" customWidth="1" style="37" min="1" max="1"/>
    <col width="9.88671875" customWidth="1" style="37" min="3" max="3"/>
    <col width="12" customWidth="1" style="37" min="5" max="5"/>
    <col width="15.77734375" customWidth="1" style="37" min="6" max="6"/>
    <col width="12.88671875" customWidth="1" style="37" min="7" max="7"/>
    <col width="19" customWidth="1" style="37" min="9" max="9"/>
    <col width="20.88671875" customWidth="1" style="37" min="10" max="10"/>
  </cols>
  <sheetData>
    <row r="1" ht="18" customHeight="1" s="37" thickBot="1">
      <c r="A1" s="9" t="inlineStr">
        <is>
          <t>الاسم</t>
        </is>
      </c>
      <c r="B1" s="10" t="inlineStr">
        <is>
          <t>الاساسي</t>
        </is>
      </c>
      <c r="C1" s="10" t="inlineStr">
        <is>
          <t>بدل انتقال</t>
        </is>
      </c>
      <c r="D1" s="10" t="inlineStr">
        <is>
          <t>بدل بنزين</t>
        </is>
      </c>
      <c r="E1" s="10" t="inlineStr">
        <is>
          <t>مستحق اخر</t>
        </is>
      </c>
      <c r="F1" s="10" t="inlineStr">
        <is>
          <t>اجمالي استحقاق</t>
        </is>
      </c>
      <c r="G1" s="11" t="inlineStr">
        <is>
          <t>الاستقطاعات</t>
        </is>
      </c>
      <c r="H1" s="11" t="inlineStr">
        <is>
          <t>السلف</t>
        </is>
      </c>
      <c r="I1" s="11" t="inlineStr">
        <is>
          <t>اجمالي استقطاع</t>
        </is>
      </c>
      <c r="J1" s="12" t="inlineStr">
        <is>
          <t>صافي المرتب</t>
        </is>
      </c>
      <c r="K1" s="10" t="inlineStr">
        <is>
          <t>الشهر</t>
        </is>
      </c>
      <c r="L1" s="10" t="inlineStr">
        <is>
          <t>السنه</t>
        </is>
      </c>
    </row>
    <row r="2" ht="15" customHeight="1" s="37" thickBot="1">
      <c r="A2" s="13" t="inlineStr">
        <is>
          <t>مني محمد</t>
        </is>
      </c>
      <c r="B2" s="14" t="n">
        <v>8000</v>
      </c>
      <c r="C2" s="14" t="n"/>
      <c r="D2" s="14" t="n"/>
      <c r="E2" s="14" t="n"/>
      <c r="F2" s="14">
        <f>B2+C2+D2+E2</f>
        <v/>
      </c>
      <c r="G2" s="14" t="n"/>
      <c r="H2" s="14" t="n"/>
      <c r="I2" s="14">
        <f>G2-H2</f>
        <v/>
      </c>
      <c r="J2" s="14">
        <f>F2-I2</f>
        <v/>
      </c>
      <c r="K2" s="15" t="inlineStr">
        <is>
          <t>سبتمبر</t>
        </is>
      </c>
      <c r="L2" s="15" t="n">
        <v>2026</v>
      </c>
    </row>
    <row r="3" ht="15" customHeight="1" s="37" thickBot="1">
      <c r="A3" s="13" t="inlineStr">
        <is>
          <t>أحمد مفرح</t>
        </is>
      </c>
      <c r="B3" s="14" t="n"/>
      <c r="C3" s="14" t="n"/>
      <c r="D3" s="14" t="n"/>
      <c r="E3" s="14" t="n"/>
      <c r="F3" s="14">
        <f>B3+C3+D3+E3</f>
        <v/>
      </c>
      <c r="G3" s="14" t="n"/>
      <c r="H3" s="14" t="n"/>
      <c r="I3" s="14">
        <f>G3-H3</f>
        <v/>
      </c>
      <c r="J3" s="14">
        <f>F3-I3</f>
        <v/>
      </c>
      <c r="K3" s="15" t="inlineStr">
        <is>
          <t>سبتمبر</t>
        </is>
      </c>
      <c r="L3" s="15" t="n">
        <v>2026</v>
      </c>
    </row>
    <row r="4" ht="15" customHeight="1" s="37" thickBot="1">
      <c r="A4" s="13" t="inlineStr">
        <is>
          <t>محمود كارم</t>
        </is>
      </c>
      <c r="B4" s="14" t="n"/>
      <c r="C4" s="14" t="n"/>
      <c r="D4" s="14" t="n"/>
      <c r="E4" s="14" t="n"/>
      <c r="F4" s="14">
        <f>B4+C4+D4+E4</f>
        <v/>
      </c>
      <c r="G4" s="14" t="n"/>
      <c r="H4" s="14" t="n"/>
      <c r="I4" s="14">
        <f>G4-H4</f>
        <v/>
      </c>
      <c r="J4" s="14">
        <f>F4-I4</f>
        <v/>
      </c>
      <c r="K4" s="15" t="inlineStr">
        <is>
          <t>سبتمبر</t>
        </is>
      </c>
      <c r="L4" s="15" t="n">
        <v>2026</v>
      </c>
    </row>
    <row r="5" ht="15" customHeight="1" s="37" thickBot="1">
      <c r="A5" s="13" t="inlineStr">
        <is>
          <t>شهد خالد</t>
        </is>
      </c>
      <c r="B5" s="14" t="n"/>
      <c r="C5" s="14" t="n"/>
      <c r="D5" s="14" t="n"/>
      <c r="E5" s="14" t="n"/>
      <c r="F5" s="14">
        <f>B5+C5+D5+E5</f>
        <v/>
      </c>
      <c r="G5" s="14" t="n"/>
      <c r="H5" s="14" t="n"/>
      <c r="I5" s="14">
        <f>G5-H5</f>
        <v/>
      </c>
      <c r="J5" s="14">
        <f>F5-I5</f>
        <v/>
      </c>
      <c r="K5" s="15" t="inlineStr">
        <is>
          <t>سبتمبر</t>
        </is>
      </c>
      <c r="L5" s="15" t="n">
        <v>2026</v>
      </c>
    </row>
    <row r="6" ht="15" customHeight="1" s="37" thickBot="1">
      <c r="A6" s="13" t="inlineStr">
        <is>
          <t>محمود رجب</t>
        </is>
      </c>
      <c r="B6" s="14" t="n"/>
      <c r="C6" s="14" t="n"/>
      <c r="D6" s="14" t="n"/>
      <c r="E6" s="14" t="n"/>
      <c r="F6" s="14">
        <f>B6+C6+D6+E6</f>
        <v/>
      </c>
      <c r="G6" s="14" t="n"/>
      <c r="H6" s="14" t="n"/>
      <c r="I6" s="14">
        <f>G6-H6</f>
        <v/>
      </c>
      <c r="J6" s="14">
        <f>F6-I6</f>
        <v/>
      </c>
      <c r="K6" s="15" t="inlineStr">
        <is>
          <t>سبتمبر</t>
        </is>
      </c>
      <c r="L6" s="15" t="n">
        <v>2026</v>
      </c>
    </row>
    <row r="7" ht="15" customHeight="1" s="37" thickBot="1">
      <c r="A7" s="13" t="inlineStr">
        <is>
          <t>صبري يحي</t>
        </is>
      </c>
      <c r="B7" s="14" t="n"/>
      <c r="C7" s="14" t="n"/>
      <c r="D7" s="14" t="n"/>
      <c r="E7" s="14" t="n"/>
      <c r="F7" s="14">
        <f>B7+C7+D7+E7</f>
        <v/>
      </c>
      <c r="G7" s="14" t="n"/>
      <c r="H7" s="14" t="n"/>
      <c r="I7" s="14">
        <f>G7-H7</f>
        <v/>
      </c>
      <c r="J7" s="14">
        <f>F7-I7</f>
        <v/>
      </c>
      <c r="K7" s="15" t="inlineStr">
        <is>
          <t>سبتمبر</t>
        </is>
      </c>
      <c r="L7" s="15" t="n">
        <v>2026</v>
      </c>
    </row>
    <row r="8" ht="15" customHeight="1" s="37" thickBot="1">
      <c r="A8" s="13" t="inlineStr">
        <is>
          <t>سيد كارم</t>
        </is>
      </c>
      <c r="B8" s="14" t="n"/>
      <c r="C8" s="14" t="n"/>
      <c r="D8" s="14" t="n"/>
      <c r="E8" s="14" t="n"/>
      <c r="F8" s="14">
        <f>B8+C8+D8+E8</f>
        <v/>
      </c>
      <c r="G8" s="14" t="n"/>
      <c r="H8" s="14" t="n"/>
      <c r="I8" s="14">
        <f>G8-H8</f>
        <v/>
      </c>
      <c r="J8" s="14">
        <f>F8-I8</f>
        <v/>
      </c>
      <c r="K8" s="15" t="inlineStr">
        <is>
          <t>سبتمبر</t>
        </is>
      </c>
      <c r="L8" s="15" t="n">
        <v>2026</v>
      </c>
    </row>
    <row r="9" ht="15" customHeight="1" s="37" thickBot="1">
      <c r="A9" s="13" t="inlineStr">
        <is>
          <t>CHILL</t>
        </is>
      </c>
      <c r="B9" s="14" t="n">
        <v>2000</v>
      </c>
      <c r="C9" s="14" t="n"/>
      <c r="D9" s="14" t="n"/>
      <c r="E9" s="14" t="n"/>
      <c r="F9" s="14">
        <f>B9+C9+D9+E9</f>
        <v/>
      </c>
      <c r="G9" s="14" t="n"/>
      <c r="H9" s="14" t="n"/>
      <c r="I9" s="14">
        <f>G9-H9</f>
        <v/>
      </c>
      <c r="J9" s="14">
        <f>F9-I9</f>
        <v/>
      </c>
      <c r="K9" s="15" t="inlineStr">
        <is>
          <t>أكتوبر</t>
        </is>
      </c>
      <c r="L9" s="15" t="n">
        <v>2027</v>
      </c>
    </row>
    <row r="10" ht="15" customHeight="1" s="37" thickBot="1">
      <c r="A10" s="16" t="n"/>
      <c r="B10" s="14" t="n"/>
      <c r="C10" s="14" t="n"/>
      <c r="D10" s="14" t="n"/>
      <c r="E10" s="14" t="n"/>
      <c r="F10" s="14">
        <f>B10+C10+D10+E10</f>
        <v/>
      </c>
      <c r="G10" s="14" t="n"/>
      <c r="H10" s="14" t="n"/>
      <c r="I10" s="14">
        <f>G10-H10</f>
        <v/>
      </c>
      <c r="J10" s="14">
        <f>F10-I10</f>
        <v/>
      </c>
      <c r="K10" s="14" t="n"/>
      <c r="L10" s="15" t="n">
        <v>2026</v>
      </c>
    </row>
    <row r="11" ht="15" customHeight="1" s="37" thickBot="1">
      <c r="A11" s="16" t="n"/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>
        <f>F11-I11</f>
        <v/>
      </c>
      <c r="K11" s="14" t="n"/>
      <c r="L11" s="15" t="n">
        <v>2026</v>
      </c>
    </row>
    <row r="12" ht="15" customHeight="1" s="37" thickBot="1">
      <c r="A12" s="16" t="n"/>
      <c r="B12" s="14" t="n"/>
      <c r="C12" s="14" t="n"/>
      <c r="D12" s="14" t="n"/>
      <c r="E12" s="14" t="n"/>
      <c r="F12" s="14" t="n"/>
      <c r="G12" s="14" t="n"/>
      <c r="H12" s="14" t="n"/>
      <c r="I12" s="14" t="n"/>
      <c r="J12" s="14">
        <f>F12-I12</f>
        <v/>
      </c>
      <c r="K12" s="14" t="n"/>
      <c r="L12" s="15" t="n">
        <v>2026</v>
      </c>
    </row>
    <row r="13" ht="15" customHeight="1" s="37" thickBot="1">
      <c r="A13" s="16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  <c r="K13" s="14" t="n"/>
      <c r="L13" s="15" t="n">
        <v>2026</v>
      </c>
    </row>
    <row r="14" ht="15" customHeight="1" s="37" thickBot="1">
      <c r="A14" s="16" t="n"/>
      <c r="B14" s="14" t="n"/>
      <c r="C14" s="14" t="n"/>
      <c r="D14" s="14" t="n"/>
      <c r="E14" s="14" t="n"/>
      <c r="F14" s="14" t="n"/>
      <c r="G14" s="14" t="n"/>
      <c r="H14" s="14" t="n"/>
      <c r="I14" s="14" t="n"/>
      <c r="J14" s="14" t="n"/>
      <c r="K14" s="14" t="n"/>
      <c r="L14" s="15" t="n">
        <v>2026</v>
      </c>
    </row>
    <row r="15" ht="15" customHeight="1" s="37" thickBot="1">
      <c r="A15" s="16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  <c r="K15" s="14" t="n"/>
      <c r="L15" s="15" t="n">
        <v>2026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 codeName="Sheet4">
    <outlinePr summaryBelow="1" summaryRight="1"/>
    <pageSetUpPr/>
  </sheetPr>
  <dimension ref="A1:D20"/>
  <sheetViews>
    <sheetView rightToLeft="1" tabSelected="1" workbookViewId="0">
      <selection activeCell="A1" sqref="A1:D20"/>
    </sheetView>
  </sheetViews>
  <sheetFormatPr baseColWidth="8" defaultRowHeight="14.4"/>
  <cols>
    <col width="9.6640625" bestFit="1" customWidth="1" style="37" min="1" max="1"/>
    <col width="16.109375" customWidth="1" style="37" min="2" max="2"/>
    <col width="19.88671875" customWidth="1" style="37" min="3" max="3"/>
    <col width="19.77734375" customWidth="1" style="37" min="4" max="4"/>
  </cols>
  <sheetData>
    <row r="1" ht="21" customHeight="1" s="37">
      <c r="A1" s="35" t="inlineStr">
        <is>
          <t>📊 إجمالي التأخيرات المستحقة لكل عميل</t>
        </is>
      </c>
    </row>
    <row r="2">
      <c r="A2" s="21" t="inlineStr">
        <is>
          <t>الإجمالي العام</t>
        </is>
      </c>
      <c r="B2" s="22" t="n">
        <v>5</v>
      </c>
      <c r="C2" s="23" t="n">
        <v>6860348.5</v>
      </c>
      <c r="D2" s="24" t="n">
        <v>8.199999999999999</v>
      </c>
    </row>
    <row r="3">
      <c r="A3" s="25" t="inlineStr">
        <is>
          <t>العميل</t>
        </is>
      </c>
      <c r="B3" s="25" t="inlineStr">
        <is>
          <t>عدد المستحقات</t>
        </is>
      </c>
      <c r="C3" s="25" t="inlineStr">
        <is>
          <t>إجمالي المبلغ المستحق</t>
        </is>
      </c>
      <c r="D3" s="25" t="inlineStr">
        <is>
          <t>متوسط التأخير (يوم)</t>
        </is>
      </c>
    </row>
    <row r="4">
      <c r="A4" s="26" t="inlineStr">
        <is>
          <t>فالتور</t>
        </is>
      </c>
      <c r="B4" s="27" t="n">
        <v>2</v>
      </c>
      <c r="C4" s="28" t="n">
        <v>2760042.5</v>
      </c>
      <c r="D4" s="29" t="n">
        <v>16.5</v>
      </c>
    </row>
    <row r="5">
      <c r="A5" s="30" t="inlineStr">
        <is>
          <t>ويكادي</t>
        </is>
      </c>
      <c r="B5" s="27" t="n">
        <v>3</v>
      </c>
      <c r="C5" s="28" t="n">
        <v>4100306</v>
      </c>
      <c r="D5" s="29" t="n">
        <v>2.666666666666667</v>
      </c>
    </row>
    <row r="6">
      <c r="A6" s="31" t="n"/>
      <c r="B6" s="27" t="inlineStr"/>
      <c r="C6" s="28" t="inlineStr"/>
      <c r="D6" s="29" t="inlineStr"/>
    </row>
    <row r="7">
      <c r="A7" s="31" t="n"/>
      <c r="B7" s="27" t="inlineStr"/>
      <c r="C7" s="28" t="inlineStr"/>
      <c r="D7" s="29" t="inlineStr"/>
    </row>
    <row r="8">
      <c r="A8" s="31" t="n"/>
      <c r="B8" s="27" t="inlineStr"/>
      <c r="C8" s="28" t="inlineStr"/>
      <c r="D8" s="29" t="inlineStr"/>
    </row>
    <row r="9">
      <c r="A9" s="31" t="n"/>
      <c r="B9" s="27" t="inlineStr"/>
      <c r="C9" s="28" t="inlineStr"/>
      <c r="D9" s="29" t="inlineStr"/>
    </row>
    <row r="10">
      <c r="A10" s="31" t="n"/>
      <c r="B10" s="27" t="inlineStr"/>
      <c r="C10" s="28" t="inlineStr"/>
      <c r="D10" s="29" t="inlineStr"/>
    </row>
    <row r="11">
      <c r="A11" s="31" t="n"/>
      <c r="B11" s="27" t="inlineStr"/>
      <c r="C11" s="28" t="inlineStr"/>
      <c r="D11" s="29" t="inlineStr"/>
    </row>
    <row r="12">
      <c r="A12" s="31" t="n"/>
      <c r="B12" s="27" t="inlineStr"/>
      <c r="C12" s="28" t="inlineStr"/>
      <c r="D12" s="29" t="inlineStr"/>
    </row>
    <row r="13">
      <c r="A13" s="31" t="n"/>
      <c r="B13" s="27" t="inlineStr"/>
      <c r="C13" s="28" t="inlineStr"/>
      <c r="D13" s="29" t="inlineStr"/>
    </row>
    <row r="14">
      <c r="A14" s="31" t="n"/>
      <c r="B14" s="27" t="inlineStr"/>
      <c r="C14" s="28" t="inlineStr"/>
      <c r="D14" s="29" t="inlineStr"/>
    </row>
    <row r="15">
      <c r="A15" s="31" t="n"/>
      <c r="B15" s="27" t="inlineStr"/>
      <c r="C15" s="28" t="inlineStr"/>
      <c r="D15" s="29" t="inlineStr"/>
    </row>
    <row r="16">
      <c r="A16" s="31" t="n"/>
      <c r="B16" s="27" t="inlineStr"/>
      <c r="C16" s="28" t="inlineStr"/>
      <c r="D16" s="29" t="inlineStr"/>
    </row>
    <row r="17">
      <c r="A17" s="31" t="n"/>
      <c r="B17" s="27" t="inlineStr"/>
      <c r="C17" s="28" t="inlineStr"/>
      <c r="D17" s="29" t="inlineStr"/>
    </row>
    <row r="18">
      <c r="A18" s="31" t="n"/>
      <c r="B18" s="27" t="inlineStr"/>
      <c r="C18" s="28" t="inlineStr"/>
      <c r="D18" s="29" t="inlineStr"/>
    </row>
    <row r="19">
      <c r="A19" s="31" t="n"/>
      <c r="B19" s="27" t="inlineStr"/>
      <c r="C19" s="28" t="inlineStr"/>
      <c r="D19" s="29" t="inlineStr"/>
    </row>
    <row r="20">
      <c r="A20" s="31" t="n"/>
      <c r="B20" s="27" t="inlineStr"/>
      <c r="C20" s="28" t="inlineStr"/>
      <c r="D20" s="29" t="inlineStr"/>
    </row>
  </sheetData>
  <sheetProtection selectLockedCells="0" selectUnlockedCells="0" algorithmName="SHA-512" sheet="1" objects="1" insertRows="1" insertHyperlinks="1" autoFilter="1" scenarios="1" formatColumns="1" deleteColumns="1" insertColumns="1" pivotTables="1" deleteRows="1" formatCells="1" saltValue="e1wRVcklD9X3RXwfVlJvnw==" formatRows="1" sort="1" spinCount="100000" hashValue="z7Yn5snhiW2v238EcU3BiZ95/YGJobeUnB2P+UIbK4n3zzxzM7M/qpgy9TGySJS9Og80ZJefmePMSxOchKEuZg=="/>
  <mergeCells count="1">
    <mergeCell ref="A1:D1"/>
  </mergeCells>
  <conditionalFormatting sqref="A4:D20">
    <cfRule type="expression" priority="1" dxfId="0">
      <formula>AND($A4&lt;&gt;"",MOD(ROW(),2)=0)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PC</dc:creator>
  <dcterms:created xmlns:dcterms="http://purl.org/dc/terms/" xmlns:xsi="http://www.w3.org/2001/XMLSchema-instance" xsi:type="dcterms:W3CDTF">2015-06-05T18:17:20Z</dcterms:created>
  <dcterms:modified xmlns:dcterms="http://purl.org/dc/terms/" xmlns:xsi="http://www.w3.org/2001/XMLSchema-instance" xsi:type="dcterms:W3CDTF">2026-09-20T18:13:27Z</dcterms:modified>
  <cp:lastModifiedBy>ahme hamdy</cp:lastModifiedBy>
</cp:coreProperties>
</file>