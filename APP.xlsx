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15840F3-123A-4CBA-A4D7-8265AF496CF9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لعملاء والموردين" sheetId="2" r:id="rId2"/>
    <sheet name="الرواتب" sheetId="3" r:id="rId3"/>
  </sheets>
  <externalReferences>
    <externalReference r:id="rId4"/>
  </externalReferences>
  <definedNames>
    <definedName name="List_AlAamla">'[1]البيانات الاساسيه'!$G$2:INDEX('[1]البيانات الاساسيه'!$G$2:$G$1000,COUNTA('[1]البيانات الاساسيه'!$G$2:$G$1000))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3" l="1"/>
  <c r="F2" i="3"/>
  <c r="D96" i="2"/>
  <c r="E96" i="2"/>
  <c r="F96" i="2"/>
  <c r="G96" i="2"/>
  <c r="H96" i="2"/>
  <c r="I96" i="2"/>
  <c r="J96" i="2"/>
  <c r="J2" i="2" s="1"/>
  <c r="K96" i="2"/>
  <c r="L96" i="2"/>
  <c r="C96" i="2"/>
  <c r="B96" i="2"/>
  <c r="B2" i="2" s="1"/>
  <c r="C2" i="1"/>
  <c r="D2" i="1"/>
  <c r="F2" i="1"/>
  <c r="G2" i="1"/>
  <c r="A2" i="1"/>
  <c r="J2" i="3" l="1"/>
</calcChain>
</file>

<file path=xl/sharedStrings.xml><?xml version="1.0" encoding="utf-8"?>
<sst xmlns="http://schemas.openxmlformats.org/spreadsheetml/2006/main" count="103" uniqueCount="56">
  <si>
    <t>فالتور</t>
  </si>
  <si>
    <t>NBE</t>
  </si>
  <si>
    <t>أ.ق</t>
  </si>
  <si>
    <t>⚠ فات ميعاد الاستحقاق</t>
  </si>
  <si>
    <t>تم سداده تحويل</t>
  </si>
  <si>
    <t xml:space="preserve">تم سداد المستحق منه </t>
  </si>
  <si>
    <t>ويكادي</t>
  </si>
  <si>
    <t>CIB</t>
  </si>
  <si>
    <t>⚠ باقي 7 يوم</t>
  </si>
  <si>
    <t>باقي 13 يوم</t>
  </si>
  <si>
    <t>خالد صبري</t>
  </si>
  <si>
    <t>باقي 16 يوم</t>
  </si>
  <si>
    <t>باقي 23 يوم</t>
  </si>
  <si>
    <t>باقي 37 يوم</t>
  </si>
  <si>
    <t>باقي 43 يوم</t>
  </si>
  <si>
    <t>باقي 27 يوم</t>
  </si>
  <si>
    <t>BM</t>
  </si>
  <si>
    <t>باقي 34 يوم</t>
  </si>
  <si>
    <t>⚠ باقي 4 يوم</t>
  </si>
  <si>
    <t>الشركة المتحده</t>
  </si>
  <si>
    <t>باقي 39 يوم</t>
  </si>
  <si>
    <t>سامكريت مصر</t>
  </si>
  <si>
    <t>البنك</t>
  </si>
  <si>
    <t>ملاحظات</t>
  </si>
  <si>
    <t>الرقم</t>
  </si>
  <si>
    <t>بينتاكون</t>
  </si>
  <si>
    <t>جي دبيو</t>
  </si>
  <si>
    <t>بيراميدز</t>
  </si>
  <si>
    <t>مدين</t>
  </si>
  <si>
    <t>دائن</t>
  </si>
  <si>
    <t>اسم العميل</t>
  </si>
  <si>
    <t>الرصيد</t>
  </si>
  <si>
    <t>اسم المورد</t>
  </si>
  <si>
    <t>ارصدة العملاء</t>
  </si>
  <si>
    <t>ترانس سبلاي</t>
  </si>
  <si>
    <t>ارصدة الموردين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</si>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</sst>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4" fontId="0" fillId="0" borderId="0" xfId="0" applyNumberFormat="1"/>
    <xf numFmtId="4" fontId="1" fillId="0" borderId="0" xfId="0" applyNumberFormat="1" applyFont="1"/>
    <xf numFmtId="0" fontId="1" fillId="0" borderId="1" xfId="0" applyFont="1" applyBorder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4" fontId="2" fillId="3" borderId="1" xfId="0" applyNumberFormat="1" applyFont="1" applyFill="1" applyBorder="1" applyAlignment="1">
      <alignment horizontal="center"/>
    </xf>
    <xf numFmtId="4" fontId="2" fillId="0" borderId="1" xfId="0" applyNumberFormat="1" applyFont="1" applyBorder="1"/>
    <xf numFmtId="4" fontId="1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3" fillId="7" borderId="3" xfId="0" applyFont="1" applyFill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4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6" fillId="0" borderId="4" xfId="0" applyFont="1" applyBorder="1" applyAlignment="1">
      <alignment horizontal="center" wrapText="1" readingOrder="2"/>
    </xf>
    <xf numFmtId="4" fontId="1" fillId="4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&#1576;&#1610;&#1575;&#1606;&#1575;&#1578;%20&#1575;&#1604;&#1578;&#1608;&#1585;&#1610;&#1583;.xlsm" TargetMode="External"/><Relationship Id="rId2" Type="http://schemas.openxmlformats.org/officeDocument/2006/relationships/externalLinkPath" Target="file:///D:\IRON%20GATE\&#1576;&#1610;&#1575;&#1606;&#1575;&#1578;%20&#1575;&#1604;&#1578;&#1608;&#1585;&#1610;&#1583;.xlsm" TargetMode="External"/><Relationship Id="rId1" Type="http://schemas.openxmlformats.org/officeDocument/2006/relationships/externalLinkPath" Target="/IRON%20GATE/&#1576;&#1610;&#1575;&#1606;&#1575;&#1578;%20&#1575;&#1604;&#1578;&#1608;&#1585;&#1610;&#158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الصفحة الرئيسية"/>
      <sheetName val="البيانات الاساسيه"/>
      <sheetName val="بيانات التوريد"/>
      <sheetName val="المشتريات"/>
      <sheetName val="المدفوعات"/>
      <sheetName val="المبيعات"/>
      <sheetName val="التحصيلات"/>
      <sheetName val="كشف حساب عميل"/>
      <sheetName val="كشف عميل مجمع"/>
      <sheetName val="كشف حساب مورد"/>
      <sheetName val="كشف مورد مجمع"/>
      <sheetName val="ميزان عملاء"/>
      <sheetName val="ميزان موردين"/>
      <sheetName val="تقرير المستحقات"/>
      <sheetName val="الأقساط"/>
      <sheetName val="متابعة المستحقات"/>
      <sheetName val="إجمالي التأخيرات"/>
      <sheetName val="داش بورد"/>
      <sheetName val="_قوائم_امر_البيع"/>
      <sheetName val="تقرير العملاء"/>
      <sheetName val="note"/>
    </sheetNames>
    <sheetDataSet>
      <sheetData sheetId="0"/>
      <sheetData sheetId="1">
        <row r="2">
          <cell r="G2" t="str">
            <v>ترانس</v>
          </cell>
        </row>
        <row r="3">
          <cell r="G3" t="str">
            <v>كرم حامد</v>
          </cell>
        </row>
        <row r="4">
          <cell r="G4" t="str">
            <v>خالد صبري</v>
          </cell>
        </row>
        <row r="5">
          <cell r="G5" t="str">
            <v>سامكريت مصر</v>
          </cell>
        </row>
        <row r="6">
          <cell r="G6" t="str">
            <v>فالتور</v>
          </cell>
        </row>
        <row r="7">
          <cell r="G7" t="str">
            <v>ويكادي</v>
          </cell>
        </row>
        <row r="8">
          <cell r="G8" t="str">
            <v>بينتاكون</v>
          </cell>
        </row>
        <row r="9">
          <cell r="G9" t="str">
            <v>جي دبيو</v>
          </cell>
        </row>
        <row r="10">
          <cell r="G10" t="str">
            <v>بيراميدز</v>
          </cell>
        </row>
        <row r="11">
          <cell r="G11" t="str">
            <v>الشركة المتحده</v>
          </cell>
        </row>
        <row r="12">
          <cell r="G12"/>
        </row>
        <row r="13">
          <cell r="G13"/>
        </row>
        <row r="14">
          <cell r="G14"/>
        </row>
        <row r="15">
          <cell r="G15"/>
        </row>
        <row r="16">
          <cell r="G16"/>
        </row>
        <row r="17">
          <cell r="G17"/>
        </row>
        <row r="18">
          <cell r="G18"/>
        </row>
        <row r="19">
          <cell r="G19"/>
        </row>
        <row r="20">
          <cell r="G20"/>
        </row>
        <row r="21">
          <cell r="G21"/>
        </row>
        <row r="22">
          <cell r="G22"/>
        </row>
        <row r="23">
          <cell r="G23"/>
        </row>
        <row r="24">
          <cell r="G24"/>
        </row>
        <row r="25">
          <cell r="G25"/>
        </row>
        <row r="26">
          <cell r="G26"/>
        </row>
        <row r="27">
          <cell r="G27"/>
        </row>
        <row r="28">
          <cell r="G28"/>
        </row>
        <row r="29">
          <cell r="G29"/>
        </row>
        <row r="30">
          <cell r="G30"/>
        </row>
        <row r="31">
          <cell r="G31"/>
        </row>
        <row r="32">
          <cell r="G32"/>
        </row>
        <row r="33">
          <cell r="G33"/>
        </row>
        <row r="34">
          <cell r="G34"/>
        </row>
        <row r="35">
          <cell r="G35"/>
        </row>
        <row r="36">
          <cell r="G36"/>
        </row>
        <row r="37">
          <cell r="G37"/>
        </row>
        <row r="38">
          <cell r="G38"/>
        </row>
        <row r="39">
          <cell r="G39"/>
        </row>
        <row r="40">
          <cell r="G40"/>
        </row>
        <row r="41">
          <cell r="G41"/>
        </row>
        <row r="42">
          <cell r="G42"/>
        </row>
        <row r="43">
          <cell r="G43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9"/>
  <sheetViews>
    <sheetView rightToLeft="1" workbookViewId="0">
      <selection activeCell="C3" sqref="C3"/>
    </sheetView>
  </sheetViews>
  <sheetFormatPr defaultRowHeight="14.4" x14ac:dyDescent="0.3"/>
  <cols>
    <col min="1" max="1" width="12.77734375" customWidth="1"/>
    <col min="2" max="2" width="11.21875" customWidth="1"/>
    <col min="3" max="3" width="11.6640625" bestFit="1" customWidth="1"/>
    <col min="4" max="4" width="12.6640625" bestFit="1" customWidth="1"/>
    <col min="5" max="5" width="6.33203125" customWidth="1"/>
    <col min="6" max="6" width="8.21875" customWidth="1"/>
    <col min="7" max="7" width="19.109375" customWidth="1"/>
    <col min="8" max="8" width="16.88671875" bestFit="1" customWidth="1"/>
  </cols>
  <sheetData>
    <row r="2" spans="1:8" x14ac:dyDescent="0.3">
      <c r="A2" s="4" t="e">
        <f>[1]!شيكات_القبض[[#Headers],[العميل]]</f>
        <v>#REF!</v>
      </c>
      <c r="B2" s="4" t="s">
        <v>24</v>
      </c>
      <c r="C2" s="4" t="e">
        <f>[1]!شيكات_القبض[[#Headers],[القيمه]]</f>
        <v>#REF!</v>
      </c>
      <c r="D2" s="4" t="e">
        <f>[1]!شيكات_القبض[[#Headers],[تاريخ الاستحقاق]]</f>
        <v>#REF!</v>
      </c>
      <c r="E2" s="4" t="s">
        <v>22</v>
      </c>
      <c r="F2" s="4" t="e">
        <f>[1]!شيكات_القبض[[#Headers],[الموقف]]</f>
        <v>#REF!</v>
      </c>
      <c r="G2" s="4" t="e">
        <f>[1]!شيكات_القبض[[#Headers],[تنبيه الاستحقاق]]</f>
        <v>#REF!</v>
      </c>
      <c r="H2" s="4" t="s">
        <v>23</v>
      </c>
    </row>
    <row r="3" spans="1:8" x14ac:dyDescent="0.3">
      <c r="A3" s="5" t="s">
        <v>0</v>
      </c>
      <c r="B3" s="5">
        <v>307385</v>
      </c>
      <c r="C3" s="5">
        <v>2388000</v>
      </c>
      <c r="D3" s="6">
        <v>46254</v>
      </c>
      <c r="E3" s="5" t="s">
        <v>1</v>
      </c>
      <c r="F3" s="5" t="s">
        <v>2</v>
      </c>
      <c r="G3" s="5" t="s">
        <v>3</v>
      </c>
      <c r="H3" s="5" t="s">
        <v>4</v>
      </c>
    </row>
    <row r="4" spans="1:8" x14ac:dyDescent="0.3">
      <c r="A4" s="5" t="s">
        <v>0</v>
      </c>
      <c r="B4" s="5">
        <v>307382</v>
      </c>
      <c r="C4" s="5">
        <v>13300000</v>
      </c>
      <c r="D4" s="5">
        <v>46260</v>
      </c>
      <c r="E4" s="5" t="s">
        <v>1</v>
      </c>
      <c r="F4" s="5" t="s">
        <v>2</v>
      </c>
      <c r="G4" s="5" t="s">
        <v>3</v>
      </c>
      <c r="H4" s="5" t="s">
        <v>5</v>
      </c>
    </row>
    <row r="5" spans="1:8" x14ac:dyDescent="0.3">
      <c r="A5" s="5" t="s">
        <v>6</v>
      </c>
      <c r="B5" s="5">
        <v>551298779</v>
      </c>
      <c r="C5" s="5">
        <v>1248395</v>
      </c>
      <c r="D5" s="5">
        <v>46274</v>
      </c>
      <c r="E5" s="5" t="s">
        <v>7</v>
      </c>
      <c r="F5" s="5" t="s">
        <v>2</v>
      </c>
      <c r="G5" s="5" t="s">
        <v>3</v>
      </c>
      <c r="H5" s="5"/>
    </row>
    <row r="6" spans="1:8" x14ac:dyDescent="0.3">
      <c r="A6" s="5" t="s">
        <v>0</v>
      </c>
      <c r="B6" s="5">
        <v>307379</v>
      </c>
      <c r="C6" s="5">
        <v>2388000</v>
      </c>
      <c r="D6" s="5">
        <v>46285</v>
      </c>
      <c r="E6" s="5" t="s">
        <v>1</v>
      </c>
      <c r="F6" s="5" t="s">
        <v>2</v>
      </c>
      <c r="G6" s="5" t="s">
        <v>8</v>
      </c>
      <c r="H6" s="5"/>
    </row>
    <row r="7" spans="1:8" x14ac:dyDescent="0.3">
      <c r="A7" s="5" t="s">
        <v>0</v>
      </c>
      <c r="B7" s="5">
        <v>307383</v>
      </c>
      <c r="C7" s="5">
        <v>13300000</v>
      </c>
      <c r="D7" s="5">
        <v>46291</v>
      </c>
      <c r="E7" s="5" t="s">
        <v>1</v>
      </c>
      <c r="F7" s="5" t="s">
        <v>2</v>
      </c>
      <c r="G7" s="5" t="s">
        <v>9</v>
      </c>
      <c r="H7" s="5"/>
    </row>
    <row r="8" spans="1:8" x14ac:dyDescent="0.3">
      <c r="A8" s="5" t="s">
        <v>10</v>
      </c>
      <c r="B8" s="5">
        <v>532937070</v>
      </c>
      <c r="C8" s="5">
        <v>3971430</v>
      </c>
      <c r="D8" s="5">
        <v>46294</v>
      </c>
      <c r="E8" s="5" t="s">
        <v>7</v>
      </c>
      <c r="F8" s="5" t="s">
        <v>2</v>
      </c>
      <c r="G8" s="5" t="s">
        <v>11</v>
      </c>
      <c r="H8" s="5"/>
    </row>
    <row r="9" spans="1:8" x14ac:dyDescent="0.3">
      <c r="A9" s="5" t="s">
        <v>0</v>
      </c>
      <c r="B9" s="5">
        <v>307380</v>
      </c>
      <c r="C9" s="5">
        <v>7857894</v>
      </c>
      <c r="D9" s="5">
        <v>46301</v>
      </c>
      <c r="E9" s="5" t="s">
        <v>1</v>
      </c>
      <c r="F9" s="5" t="s">
        <v>2</v>
      </c>
      <c r="G9" s="5" t="s">
        <v>12</v>
      </c>
      <c r="H9" s="5"/>
    </row>
    <row r="10" spans="1:8" x14ac:dyDescent="0.3">
      <c r="A10" s="5" t="s">
        <v>0</v>
      </c>
      <c r="B10" s="5">
        <v>307381</v>
      </c>
      <c r="C10" s="5">
        <v>2388000</v>
      </c>
      <c r="D10" s="5">
        <v>46315</v>
      </c>
      <c r="E10" s="5" t="s">
        <v>1</v>
      </c>
      <c r="F10" s="5" t="s">
        <v>2</v>
      </c>
      <c r="G10" s="5" t="s">
        <v>13</v>
      </c>
      <c r="H10" s="5"/>
    </row>
    <row r="11" spans="1:8" x14ac:dyDescent="0.3">
      <c r="A11" s="5" t="s">
        <v>0</v>
      </c>
      <c r="B11" s="5">
        <v>307384</v>
      </c>
      <c r="C11" s="5">
        <v>13300000</v>
      </c>
      <c r="D11" s="5">
        <v>46321</v>
      </c>
      <c r="E11" s="5" t="s">
        <v>1</v>
      </c>
      <c r="F11" s="5" t="s">
        <v>2</v>
      </c>
      <c r="G11" s="5" t="s">
        <v>14</v>
      </c>
      <c r="H11" s="5"/>
    </row>
    <row r="12" spans="1:8" x14ac:dyDescent="0.3">
      <c r="A12" s="5" t="s">
        <v>10</v>
      </c>
      <c r="B12" s="5">
        <v>532937100</v>
      </c>
      <c r="C12" s="5">
        <v>5043144</v>
      </c>
      <c r="D12" s="5">
        <v>46305</v>
      </c>
      <c r="E12" s="5"/>
      <c r="F12" s="5" t="s">
        <v>2</v>
      </c>
      <c r="G12" s="5" t="s">
        <v>15</v>
      </c>
      <c r="H12" s="5"/>
    </row>
    <row r="13" spans="1:8" x14ac:dyDescent="0.3">
      <c r="A13" s="5" t="s">
        <v>10</v>
      </c>
      <c r="B13" s="5">
        <v>9165752</v>
      </c>
      <c r="C13" s="5">
        <v>3979312.84</v>
      </c>
      <c r="D13" s="5">
        <v>46312</v>
      </c>
      <c r="E13" s="5" t="s">
        <v>16</v>
      </c>
      <c r="F13" s="5" t="s">
        <v>2</v>
      </c>
      <c r="G13" s="5" t="s">
        <v>17</v>
      </c>
      <c r="H13" s="5"/>
    </row>
    <row r="14" spans="1:8" x14ac:dyDescent="0.3">
      <c r="A14" s="5" t="s">
        <v>6</v>
      </c>
      <c r="B14" s="5">
        <v>554541873</v>
      </c>
      <c r="C14" s="5">
        <v>1556850</v>
      </c>
      <c r="D14" s="5">
        <v>46282</v>
      </c>
      <c r="E14" s="5" t="s">
        <v>7</v>
      </c>
      <c r="F14" s="5" t="s">
        <v>2</v>
      </c>
      <c r="G14" s="5" t="s">
        <v>18</v>
      </c>
      <c r="H14" s="5"/>
    </row>
    <row r="15" spans="1:8" x14ac:dyDescent="0.3">
      <c r="A15" s="5" t="s">
        <v>19</v>
      </c>
      <c r="B15" s="5">
        <v>2798976</v>
      </c>
      <c r="C15" s="5">
        <v>17745354</v>
      </c>
      <c r="D15" s="5">
        <v>46317</v>
      </c>
      <c r="E15" s="5"/>
      <c r="F15" s="5" t="s">
        <v>2</v>
      </c>
      <c r="G15" s="5" t="s">
        <v>20</v>
      </c>
      <c r="H15" s="5"/>
    </row>
    <row r="16" spans="1:8" x14ac:dyDescent="0.3">
      <c r="A16" s="5" t="s">
        <v>21</v>
      </c>
      <c r="B16" s="5">
        <v>13249953</v>
      </c>
      <c r="C16" s="5">
        <v>7167694.6299999999</v>
      </c>
      <c r="D16" s="5">
        <v>46321</v>
      </c>
      <c r="E16" s="5"/>
      <c r="F16" s="5" t="s">
        <v>2</v>
      </c>
      <c r="G16" s="5" t="s">
        <v>14</v>
      </c>
      <c r="H16" s="5"/>
    </row>
    <row r="17" spans="1:8" x14ac:dyDescent="0.3">
      <c r="A17" s="5"/>
      <c r="B17" s="5"/>
      <c r="C17" s="5"/>
      <c r="D17" s="5"/>
      <c r="E17" s="5"/>
      <c r="F17" s="5"/>
      <c r="G17" s="5"/>
      <c r="H17" s="5"/>
    </row>
    <row r="18" spans="1:8" x14ac:dyDescent="0.3">
      <c r="A18" s="3"/>
      <c r="B18" s="3"/>
      <c r="C18" s="3"/>
      <c r="D18" s="3"/>
      <c r="E18" s="3"/>
      <c r="F18" s="3"/>
      <c r="G18" s="3"/>
      <c r="H18" s="3"/>
    </row>
    <row r="19" spans="1:8" x14ac:dyDescent="0.3">
      <c r="A19" s="3"/>
      <c r="B19" s="3"/>
      <c r="C19" s="3"/>
      <c r="D19" s="3"/>
      <c r="E19" s="3"/>
      <c r="F19" s="3"/>
      <c r="G19" s="3"/>
      <c r="H19" s="3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D299-E638-42A0-901E-BCBBC6789F30}">
  <dimension ref="A1:L96"/>
  <sheetViews>
    <sheetView rightToLeft="1" workbookViewId="0">
      <selection activeCell="I9" sqref="I9"/>
    </sheetView>
  </sheetViews>
  <sheetFormatPr defaultRowHeight="14.4" x14ac:dyDescent="0.3"/>
  <cols>
    <col min="1" max="1" width="14.5546875" bestFit="1" customWidth="1"/>
    <col min="2" max="2" width="16.44140625" style="1" bestFit="1" customWidth="1"/>
    <col min="3" max="3" width="14.44140625" style="1" bestFit="1" customWidth="1"/>
    <col min="9" max="9" width="12.44140625" bestFit="1" customWidth="1"/>
    <col min="10" max="11" width="16.44140625" bestFit="1" customWidth="1"/>
  </cols>
  <sheetData>
    <row r="1" spans="1:11" x14ac:dyDescent="0.3">
      <c r="A1" s="21" t="s">
        <v>33</v>
      </c>
      <c r="B1" s="21"/>
      <c r="C1" s="21"/>
      <c r="I1" s="21" t="s">
        <v>35</v>
      </c>
      <c r="J1" s="21"/>
      <c r="K1" s="21"/>
    </row>
    <row r="2" spans="1:11" x14ac:dyDescent="0.3">
      <c r="A2" s="2" t="s">
        <v>31</v>
      </c>
      <c r="B2" s="20">
        <f>B96-C96</f>
        <v>75177266.734912291</v>
      </c>
      <c r="C2" s="20"/>
      <c r="I2" s="11" t="s">
        <v>31</v>
      </c>
      <c r="J2" s="20">
        <f>J96-K96</f>
        <v>-76899579.5</v>
      </c>
      <c r="K2" s="20"/>
    </row>
    <row r="3" spans="1:11" ht="18" x14ac:dyDescent="0.35">
      <c r="A3" s="7" t="s">
        <v>30</v>
      </c>
      <c r="B3" s="9" t="s">
        <v>28</v>
      </c>
      <c r="C3" s="9" t="s">
        <v>29</v>
      </c>
      <c r="I3" s="7" t="s">
        <v>32</v>
      </c>
      <c r="J3" s="9" t="s">
        <v>28</v>
      </c>
      <c r="K3" s="9" t="s">
        <v>29</v>
      </c>
    </row>
    <row r="4" spans="1:11" ht="18" x14ac:dyDescent="0.35">
      <c r="A4" s="8" t="s">
        <v>10</v>
      </c>
      <c r="B4" s="10">
        <v>12993887.403508775</v>
      </c>
      <c r="C4" s="10">
        <v>0</v>
      </c>
      <c r="I4" s="8" t="s">
        <v>34</v>
      </c>
      <c r="J4" s="10">
        <v>0</v>
      </c>
      <c r="K4" s="10">
        <v>76899579.5</v>
      </c>
    </row>
    <row r="5" spans="1:11" ht="18" x14ac:dyDescent="0.35">
      <c r="A5" s="8" t="s">
        <v>21</v>
      </c>
      <c r="B5" s="10">
        <v>7031957.1428070199</v>
      </c>
      <c r="C5" s="10">
        <v>0</v>
      </c>
    </row>
    <row r="6" spans="1:11" ht="18" x14ac:dyDescent="0.35">
      <c r="A6" s="8" t="s">
        <v>0</v>
      </c>
      <c r="B6" s="10">
        <v>29593741.250000007</v>
      </c>
      <c r="C6" s="10">
        <v>0</v>
      </c>
    </row>
    <row r="7" spans="1:11" ht="18" x14ac:dyDescent="0.35">
      <c r="A7" s="8" t="s">
        <v>6</v>
      </c>
      <c r="B7" s="10">
        <v>5830041</v>
      </c>
      <c r="C7" s="10">
        <v>0</v>
      </c>
    </row>
    <row r="8" spans="1:11" ht="18" x14ac:dyDescent="0.35">
      <c r="A8" s="8" t="s">
        <v>25</v>
      </c>
      <c r="B8" s="10">
        <v>2017305.0000000005</v>
      </c>
      <c r="C8" s="10">
        <v>0</v>
      </c>
    </row>
    <row r="9" spans="1:11" ht="18" x14ac:dyDescent="0.35">
      <c r="A9" s="8" t="s">
        <v>26</v>
      </c>
      <c r="B9" s="10">
        <v>0</v>
      </c>
      <c r="C9" s="10">
        <v>35015.061403508531</v>
      </c>
    </row>
    <row r="10" spans="1:11" ht="18" x14ac:dyDescent="0.35">
      <c r="A10" s="8" t="s">
        <v>27</v>
      </c>
      <c r="B10" s="10">
        <v>0</v>
      </c>
      <c r="C10" s="10">
        <v>4</v>
      </c>
    </row>
    <row r="11" spans="1:11" ht="18" x14ac:dyDescent="0.35">
      <c r="A11" s="8" t="s">
        <v>19</v>
      </c>
      <c r="B11" s="10">
        <v>17745354.000000004</v>
      </c>
      <c r="C11" s="10">
        <v>0</v>
      </c>
    </row>
    <row r="96" spans="2:12" x14ac:dyDescent="0.3">
      <c r="B96" s="1">
        <f>SUM(B4:B95)</f>
        <v>75212285.796315804</v>
      </c>
      <c r="C96" s="1">
        <f>SUM(C4:C95)</f>
        <v>35019.061403508531</v>
      </c>
      <c r="D96" s="1">
        <f t="shared" ref="D96:L96" si="0">SUM(D4:D95)</f>
        <v>0</v>
      </c>
      <c r="E96" s="1">
        <f t="shared" si="0"/>
        <v>0</v>
      </c>
      <c r="F96" s="1">
        <f t="shared" si="0"/>
        <v>0</v>
      </c>
      <c r="G96" s="1">
        <f t="shared" si="0"/>
        <v>0</v>
      </c>
      <c r="H96" s="1">
        <f t="shared" si="0"/>
        <v>0</v>
      </c>
      <c r="I96" s="1">
        <f t="shared" si="0"/>
        <v>0</v>
      </c>
      <c r="J96" s="1">
        <f t="shared" si="0"/>
        <v>0</v>
      </c>
      <c r="K96" s="1">
        <f t="shared" si="0"/>
        <v>76899579.5</v>
      </c>
      <c r="L96" s="1">
        <f t="shared" si="0"/>
        <v>0</v>
      </c>
    </row>
  </sheetData>
  <mergeCells count="4">
    <mergeCell ref="B2:C2"/>
    <mergeCell ref="A1:C1"/>
    <mergeCell ref="J2:K2"/>
    <mergeCell ref="I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B8638-6440-44FA-9D03-B97E16C7076B}">
  <dimension ref="A1:L15"/>
  <sheetViews>
    <sheetView rightToLeft="1" tabSelected="1" workbookViewId="0">
      <selection activeCell="J2" sqref="J2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12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4" t="s">
        <v>42</v>
      </c>
      <c r="H1" s="14" t="s">
        <v>43</v>
      </c>
      <c r="I1" s="14" t="s">
        <v>44</v>
      </c>
      <c r="J1" s="15" t="s">
        <v>45</v>
      </c>
      <c r="K1" s="13" t="s">
        <v>46</v>
      </c>
      <c r="L1" s="13" t="s">
        <v>47</v>
      </c>
    </row>
    <row r="2" spans="1:12" ht="15" thickBot="1" x14ac:dyDescent="0.35">
      <c r="A2" s="19" t="s">
        <v>48</v>
      </c>
      <c r="B2" s="16">
        <v>8000</v>
      </c>
      <c r="C2" s="16"/>
      <c r="D2" s="16"/>
      <c r="E2" s="16"/>
      <c r="F2" s="16">
        <f>B2+C2+D2+E2</f>
        <v>8000</v>
      </c>
      <c r="G2" s="16"/>
      <c r="H2" s="16"/>
      <c r="I2" s="16">
        <f>G2-H2</f>
        <v>0</v>
      </c>
      <c r="J2" s="16">
        <f>F2-I2</f>
        <v>8000</v>
      </c>
      <c r="K2" s="17" t="s">
        <v>49</v>
      </c>
      <c r="L2" s="17">
        <v>2026</v>
      </c>
    </row>
    <row r="3" spans="1:12" ht="15" thickBot="1" x14ac:dyDescent="0.35">
      <c r="A3" s="19" t="s">
        <v>50</v>
      </c>
      <c r="B3" s="16"/>
      <c r="C3" s="16"/>
      <c r="D3" s="16"/>
      <c r="E3" s="16"/>
      <c r="F3" s="16"/>
      <c r="G3" s="16"/>
      <c r="H3" s="16"/>
      <c r="I3" s="16"/>
      <c r="J3" s="16"/>
      <c r="K3" s="17" t="s">
        <v>49</v>
      </c>
      <c r="L3" s="17">
        <v>2026</v>
      </c>
    </row>
    <row r="4" spans="1:12" ht="15" thickBot="1" x14ac:dyDescent="0.35">
      <c r="A4" s="19" t="s">
        <v>51</v>
      </c>
      <c r="B4" s="16"/>
      <c r="C4" s="16"/>
      <c r="D4" s="16"/>
      <c r="E4" s="16"/>
      <c r="F4" s="16"/>
      <c r="G4" s="16"/>
      <c r="H4" s="16"/>
      <c r="I4" s="16"/>
      <c r="J4" s="16"/>
      <c r="K4" s="17" t="s">
        <v>49</v>
      </c>
      <c r="L4" s="17">
        <v>2026</v>
      </c>
    </row>
    <row r="5" spans="1:12" ht="15" thickBot="1" x14ac:dyDescent="0.35">
      <c r="A5" s="19" t="s">
        <v>52</v>
      </c>
      <c r="B5" s="16"/>
      <c r="C5" s="16"/>
      <c r="D5" s="16"/>
      <c r="E5" s="16"/>
      <c r="F5" s="16"/>
      <c r="G5" s="16"/>
      <c r="H5" s="16"/>
      <c r="I5" s="16"/>
      <c r="J5" s="16"/>
      <c r="K5" s="17" t="s">
        <v>49</v>
      </c>
      <c r="L5" s="17">
        <v>2026</v>
      </c>
    </row>
    <row r="6" spans="1:12" ht="15" thickBot="1" x14ac:dyDescent="0.35">
      <c r="A6" s="19" t="s">
        <v>53</v>
      </c>
      <c r="B6" s="16"/>
      <c r="C6" s="16"/>
      <c r="D6" s="16"/>
      <c r="E6" s="16"/>
      <c r="F6" s="16"/>
      <c r="G6" s="16"/>
      <c r="H6" s="16"/>
      <c r="I6" s="16"/>
      <c r="J6" s="16"/>
      <c r="K6" s="17" t="s">
        <v>49</v>
      </c>
      <c r="L6" s="17">
        <v>2026</v>
      </c>
    </row>
    <row r="7" spans="1:12" ht="15" thickBot="1" x14ac:dyDescent="0.35">
      <c r="A7" s="19" t="s">
        <v>54</v>
      </c>
      <c r="B7" s="16"/>
      <c r="C7" s="16"/>
      <c r="D7" s="16"/>
      <c r="E7" s="16"/>
      <c r="F7" s="16"/>
      <c r="G7" s="16"/>
      <c r="H7" s="16"/>
      <c r="I7" s="16"/>
      <c r="J7" s="16"/>
      <c r="K7" s="17" t="s">
        <v>49</v>
      </c>
      <c r="L7" s="17">
        <v>2026</v>
      </c>
    </row>
    <row r="8" spans="1:12" ht="15" thickBot="1" x14ac:dyDescent="0.35">
      <c r="A8" s="19" t="s">
        <v>55</v>
      </c>
      <c r="B8" s="16"/>
      <c r="C8" s="16"/>
      <c r="D8" s="16"/>
      <c r="E8" s="16"/>
      <c r="F8" s="16"/>
      <c r="G8" s="16"/>
      <c r="H8" s="16"/>
      <c r="I8" s="16"/>
      <c r="J8" s="16"/>
      <c r="K8" s="17" t="s">
        <v>49</v>
      </c>
      <c r="L8" s="17">
        <v>2026</v>
      </c>
    </row>
    <row r="9" spans="1:12" ht="15" thickBot="1" x14ac:dyDescent="0.35">
      <c r="A9" s="18"/>
      <c r="B9" s="16"/>
      <c r="C9" s="16"/>
      <c r="D9" s="16"/>
      <c r="E9" s="16"/>
      <c r="F9" s="16"/>
      <c r="G9" s="16"/>
      <c r="H9" s="16"/>
      <c r="I9" s="16"/>
      <c r="J9" s="16"/>
      <c r="K9" s="16"/>
      <c r="L9" s="17">
        <v>2026</v>
      </c>
    </row>
    <row r="10" spans="1:12" ht="15" thickBot="1" x14ac:dyDescent="0.35">
      <c r="A10" s="18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>
        <v>2026</v>
      </c>
    </row>
    <row r="11" spans="1:12" ht="15" thickBot="1" x14ac:dyDescent="0.35">
      <c r="A11" s="18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7">
        <v>2026</v>
      </c>
    </row>
    <row r="12" spans="1:12" ht="15" thickBot="1" x14ac:dyDescent="0.35">
      <c r="A12" s="18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>
        <v>2026</v>
      </c>
    </row>
    <row r="13" spans="1:12" ht="15" thickBot="1" x14ac:dyDescent="0.35">
      <c r="A13" s="18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7">
        <v>2026</v>
      </c>
    </row>
    <row r="14" spans="1:12" ht="15" thickBot="1" x14ac:dyDescent="0.35">
      <c r="A14" s="18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>
        <v>2026</v>
      </c>
    </row>
    <row r="15" spans="1:12" ht="15" thickBot="1" x14ac:dyDescent="0.35">
      <c r="A15" s="18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7"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الشيكات</vt:lpstr>
      <vt:lpstr>العملاء والموردين</vt:lpstr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2026-09-13T12:20:58Z</dcterms:modified>
</cp:coreProperties>
</file>