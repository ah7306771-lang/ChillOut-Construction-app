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DA56D464-F897-44D4-A864-4E28462FE9A6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<sst xmlns="http://schemas.openxmlformats.org/spreadsheetml/2006/main" count="818" uniqueCount="144">
  <si>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</si>
  <si>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</si>
  <si>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</si>
  <si>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</si>
  <si>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</si>
  <si>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</si>
  <si>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</si>
  <si>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</si>
  <si>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</si>
  <si>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</si>
  <si>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</si>
  <si>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</si>
  <si>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</si>
  <si>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</si>
  <si>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</si>
  <si>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</si>
  <si>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</si>
  <si>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</si>
  <si>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</si>
  <si>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</si>
  <si>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</si>
  <si>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</si>
  <si>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</si>
  <si>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</si>
  <si>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</si>
  <si>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</si>
  <si>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</si>
  <si>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</si>
  <si>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</si>
  <si>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</si>
  <si>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</si>
  <si>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</si>
  <si>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</si>
  <si>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</si>
  <si>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</si>
  <si>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</si>
  <si>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</si>
  <si>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</si>
  <si>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</si>
  <si>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</si>
  <si>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</si>
  <si>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</si>
  <si>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</si>
  <si>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</si>
  <si>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</si>
  <si>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</si>
  <si>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</si>
  <si>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</si>
  <si>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</si>
  <si>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</si>
  <si>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</si>
  <si>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</si>
  <si>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</si>
  <si>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</si>
  <si>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</si>
  <si>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</si>
  <si>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</si>
  <si>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</si>
  <si>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</si>
  <si>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</si>
  <si>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</si>
  <si>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</si>
  <si>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</si>
  <si>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</si>
  <si>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</si>
  <si>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</si>
  <si>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</si>
  <si>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</si>
  <si>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</si>
  <si>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</si>
  <si>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</si>
  <si>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</si>
  <si>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</si>
  <si>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</si>
  <si>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</si>
  <si>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</si>
  <si>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</si>
  <si>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</si>
  <si>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</si>
  <si>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</si>
  <si>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</si>
  <si>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</si>
  <si>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</si>
  <si>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</si>
  <si>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</si>
  <si>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</si>
  <si>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</si>
  <si>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</si>
  <si>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</si>
  <si>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</si>
  <si>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</si>
  <si>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</si>
  <si>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</si>
  <si>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</si>
  <si>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</si>
  <si>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</si>
  <si>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</si>
  <si>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</si>
  <si>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</si>
  <si>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</si>
  <si>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</si>
  <si>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</si>
  <si>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</si>
  <si>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</si>
  <si>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</si>
  <si>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</si>
  <si>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</si>
  <si>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</si>
  <si>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</si>
  <si>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</si>
  <si>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</si>
  <si>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</si>
  <si>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</si>
  <si>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</si>
  <si>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</si>
  <si>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</si>
  <si>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</si>
  <si>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⚠ باقي 21 يوم</t>
  </si>
  <si>
    <t>⚠ باقي 20 يوم</t>
  </si>
  <si>
    <t>⚠ باقي 51 يوم</t>
  </si>
  <si>
    <t>⚠ شيك متأخر 46 يوم</t>
  </si>
  <si>
    <t>⚠ شيك متأخر 15 يوم</t>
  </si>
  <si>
    <t>⚠ شيك متأخر 9 يوم</t>
  </si>
  <si>
    <t>⚠ باقي 1 يوم</t>
  </si>
  <si>
    <t>⚠ باقي 5 يوم</t>
  </si>
  <si>
    <t>⚠ باقي 12 يوم</t>
  </si>
  <si>
    <t>⚠ باقي 15 يوم</t>
  </si>
  <si>
    <t>⚠ باقي 17 يوم</t>
  </si>
  <si>
    <t>⚠ باقي 19 يوم</t>
  </si>
  <si>
    <t>⚠ باقي 23 يوم</t>
  </si>
  <si>
    <t>⚠ باقي 50 يوم</t>
  </si>
  <si>
    <t>⚠ باقي 54 يوم</t>
  </si>
  <si>
    <t>⚠ باقي 25 يوم</t>
  </si>
  <si>
    <t>🟢 جارٍ
56,945,626</t>
  </si>
  <si>
    <t>47 يوم</t>
  </si>
  <si>
    <t>41 يوم</t>
  </si>
  <si>
    <t>16 يوم</t>
  </si>
  <si>
    <t>13 يوم</t>
  </si>
  <si>
    <t>🔔 متبقي يوم واحد</t>
  </si>
  <si>
    <t>🔔 متبقي 5 أيام</t>
  </si>
  <si>
    <t>🔔 قريب</t>
  </si>
  <si>
    <t>🔔 قريب الاستحقاق
14,418,344</t>
  </si>
  <si>
    <t>⚠ متأخر
4,314,030</t>
  </si>
  <si>
    <t>✅ مسدّد
125,998,189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</si>
</sst>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120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121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122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123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124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125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126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127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126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128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118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129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130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119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131</v>
      </c>
      <c r="H19" s="19"/>
      <c r="I19" s="19"/>
    </row>
    <row r="20" spans="1:9" x14ac:dyDescent="0.3">
      <c r="A20" s="19" t="s">
        <v>115</v>
      </c>
      <c r="B20" s="19">
        <v>74668</v>
      </c>
      <c r="C20" s="19">
        <v>1400000</v>
      </c>
      <c r="D20" s="74">
        <v>46325</v>
      </c>
      <c r="E20" s="19" t="s">
        <v>9</v>
      </c>
      <c r="F20" s="19" t="s">
        <v>10</v>
      </c>
      <c r="G20" s="19" t="s">
        <v>132</v>
      </c>
      <c r="H20" s="19"/>
      <c r="I20" s="19"/>
    </row>
    <row r="21" spans="1:9" x14ac:dyDescent="0.3">
      <c r="A21" s="19" t="s">
        <v>115</v>
      </c>
      <c r="B21" s="19">
        <v>74669</v>
      </c>
      <c r="C21" s="19">
        <v>1200000</v>
      </c>
      <c r="D21" s="74">
        <v>46325</v>
      </c>
      <c r="E21" s="19" t="s">
        <v>9</v>
      </c>
      <c r="F21" s="19" t="s">
        <v>10</v>
      </c>
      <c r="G21" s="19" t="s">
        <v>132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4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115</v>
      </c>
      <c r="B221" s="34">
        <v>38000</v>
      </c>
      <c r="C221" s="34">
        <v>40000</v>
      </c>
      <c r="D221" s="33">
        <v>52</v>
      </c>
      <c r="E221" s="19" t="s">
        <v>116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115</v>
      </c>
      <c r="B222" s="34">
        <v>38000</v>
      </c>
      <c r="C222" s="34">
        <v>40000</v>
      </c>
      <c r="D222" s="33">
        <v>52</v>
      </c>
      <c r="E222" s="19" t="s">
        <v>116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115</v>
      </c>
      <c r="B223" s="34">
        <v>38000</v>
      </c>
      <c r="C223" s="34">
        <v>40000</v>
      </c>
      <c r="D223" s="33">
        <v>52</v>
      </c>
      <c r="E223" s="19" t="s">
        <v>116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115</v>
      </c>
      <c r="B224" s="34">
        <v>38000</v>
      </c>
      <c r="C224" s="34">
        <v>40000</v>
      </c>
      <c r="D224" s="33">
        <v>52</v>
      </c>
      <c r="E224" s="19" t="s">
        <v>116</v>
      </c>
      <c r="F224" s="74">
        <v>46297</v>
      </c>
      <c r="G224" s="36">
        <v>288800</v>
      </c>
      <c r="H224" s="36">
        <v>304000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A9" sqref="A9:L23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142</v>
      </c>
      <c r="B2" s="65" t="s">
        <v>141</v>
      </c>
      <c r="C2" s="66"/>
      <c r="D2" s="49" t="s">
        <v>143</v>
      </c>
      <c r="E2" s="50" t="s">
        <v>133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134404806.93614033</v>
      </c>
      <c r="I3" s="41">
        <v>75677998.778771937</v>
      </c>
      <c r="J3" s="41">
        <v>4314029.5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134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135</v>
      </c>
      <c r="L6" s="44" t="s">
        <v>92</v>
      </c>
    </row>
    <row r="7" spans="1:12" ht="14.4" customHeight="1" x14ac:dyDescent="0.3">
      <c r="A7" s="44" t="s">
        <v>39</v>
      </c>
      <c r="B7" s="44" t="s">
        <v>8</v>
      </c>
      <c r="C7" s="45">
        <v>46232</v>
      </c>
      <c r="D7" s="46">
        <v>7140063.75</v>
      </c>
      <c r="E7" s="44" t="s">
        <v>94</v>
      </c>
      <c r="F7" s="45">
        <v>46285</v>
      </c>
      <c r="G7" s="61">
        <v>2380021.25</v>
      </c>
      <c r="H7" s="46">
        <v>973387</v>
      </c>
      <c r="I7" s="46">
        <v>1406634.25</v>
      </c>
      <c r="J7" s="46">
        <v>1406634.25</v>
      </c>
      <c r="K7" s="47" t="s">
        <v>136</v>
      </c>
      <c r="L7" s="44" t="s">
        <v>92</v>
      </c>
    </row>
    <row r="8" spans="1:12" ht="14.4" customHeight="1" x14ac:dyDescent="0.3">
      <c r="A8" s="44">
        <v>50</v>
      </c>
      <c r="B8" s="44" t="s">
        <v>11</v>
      </c>
      <c r="C8" s="45">
        <v>46288</v>
      </c>
      <c r="D8" s="46">
        <v>3915716</v>
      </c>
      <c r="E8" s="44" t="s">
        <v>93</v>
      </c>
      <c r="F8" s="45">
        <v>46288</v>
      </c>
      <c r="G8" s="46">
        <v>3915716</v>
      </c>
      <c r="H8" s="46">
        <v>1399694</v>
      </c>
      <c r="I8" s="46">
        <v>2516022</v>
      </c>
      <c r="J8" s="46">
        <v>2516022</v>
      </c>
      <c r="K8" s="47" t="s">
        <v>137</v>
      </c>
      <c r="L8" s="44" t="s">
        <v>92</v>
      </c>
    </row>
    <row r="9" spans="1:12" ht="14.4" customHeight="1" x14ac:dyDescent="0.3">
      <c r="A9" s="44">
        <v>3</v>
      </c>
      <c r="B9" s="44" t="s">
        <v>8</v>
      </c>
      <c r="C9" s="45">
        <v>46211</v>
      </c>
      <c r="D9" s="46">
        <v>7857894</v>
      </c>
      <c r="E9" s="44" t="s">
        <v>91</v>
      </c>
      <c r="F9" s="45">
        <v>46301</v>
      </c>
      <c r="G9" s="46">
        <v>7857894</v>
      </c>
      <c r="H9" s="46">
        <v>0</v>
      </c>
      <c r="I9" s="46">
        <v>7857894</v>
      </c>
      <c r="J9" s="46">
        <v>0</v>
      </c>
      <c r="K9" s="47"/>
      <c r="L9" s="44" t="s">
        <v>138</v>
      </c>
    </row>
    <row r="10" spans="1:12" ht="14.4" customHeight="1" x14ac:dyDescent="0.3">
      <c r="A10" s="44">
        <v>36</v>
      </c>
      <c r="B10" s="44" t="s">
        <v>13</v>
      </c>
      <c r="C10" s="45">
        <v>46245</v>
      </c>
      <c r="D10" s="46">
        <v>5129113.6140350876</v>
      </c>
      <c r="E10" s="44" t="s">
        <v>91</v>
      </c>
      <c r="F10" s="45">
        <v>46305</v>
      </c>
      <c r="G10" s="46">
        <v>5129113.6140350876</v>
      </c>
      <c r="H10" s="46">
        <v>85969</v>
      </c>
      <c r="I10" s="46">
        <v>5043144.6140350876</v>
      </c>
      <c r="J10" s="46">
        <v>0</v>
      </c>
      <c r="K10" s="47"/>
      <c r="L10" s="44" t="s">
        <v>139</v>
      </c>
    </row>
    <row r="11" spans="1:12" ht="14.4" customHeight="1" x14ac:dyDescent="0.3">
      <c r="A11" s="44">
        <v>39</v>
      </c>
      <c r="B11" s="44" t="s">
        <v>47</v>
      </c>
      <c r="C11" s="45">
        <v>46250</v>
      </c>
      <c r="D11" s="46">
        <v>2017305</v>
      </c>
      <c r="E11" s="44" t="s">
        <v>91</v>
      </c>
      <c r="F11" s="45">
        <v>46310</v>
      </c>
      <c r="G11" s="46">
        <v>2017305</v>
      </c>
      <c r="H11" s="46">
        <v>500000</v>
      </c>
      <c r="I11" s="46">
        <v>1517305</v>
      </c>
      <c r="J11" s="46">
        <v>0</v>
      </c>
      <c r="K11" s="47"/>
      <c r="L11" s="44" t="s">
        <v>140</v>
      </c>
    </row>
    <row r="12" spans="1:12" ht="14.4" customHeight="1" x14ac:dyDescent="0.3">
      <c r="A12" s="44">
        <v>41</v>
      </c>
      <c r="B12" s="44" t="s">
        <v>13</v>
      </c>
      <c r="C12" s="45">
        <v>46251</v>
      </c>
      <c r="D12" s="46">
        <v>3979312.8421052634</v>
      </c>
      <c r="E12" s="44" t="s">
        <v>91</v>
      </c>
      <c r="F12" s="45">
        <v>46311</v>
      </c>
      <c r="G12" s="46">
        <v>3979312.8421052634</v>
      </c>
      <c r="H12" s="46">
        <v>0</v>
      </c>
      <c r="I12" s="46">
        <v>3979312.8421052634</v>
      </c>
      <c r="J12" s="46">
        <v>0</v>
      </c>
      <c r="K12" s="47"/>
      <c r="L12" s="44" t="s">
        <v>95</v>
      </c>
    </row>
    <row r="13" spans="1:12" ht="14.4" customHeight="1" x14ac:dyDescent="0.3">
      <c r="A13" s="55">
        <v>47</v>
      </c>
      <c r="B13" s="55" t="s">
        <v>11</v>
      </c>
      <c r="C13" s="58">
        <v>46284</v>
      </c>
      <c r="D13" s="59">
        <v>4577624</v>
      </c>
      <c r="E13" s="55" t="s">
        <v>91</v>
      </c>
      <c r="F13" s="58">
        <v>46314</v>
      </c>
      <c r="G13" s="62">
        <v>3433218</v>
      </c>
      <c r="H13" s="59">
        <v>0</v>
      </c>
      <c r="I13" s="59">
        <v>3433218</v>
      </c>
      <c r="J13" s="59">
        <v>0</v>
      </c>
      <c r="K13" s="60"/>
      <c r="L13" s="55" t="s">
        <v>95</v>
      </c>
    </row>
    <row r="14" spans="1:12" ht="14.4" customHeight="1" x14ac:dyDescent="0.3">
      <c r="A14" s="55" t="s">
        <v>39</v>
      </c>
      <c r="B14" s="55" t="s">
        <v>8</v>
      </c>
      <c r="C14" s="58">
        <v>46232</v>
      </c>
      <c r="D14" s="59">
        <v>7140063.75</v>
      </c>
      <c r="E14" s="55" t="s">
        <v>96</v>
      </c>
      <c r="F14" s="58">
        <v>46315</v>
      </c>
      <c r="G14" s="59">
        <v>2380021.25</v>
      </c>
      <c r="H14" s="59">
        <v>0</v>
      </c>
      <c r="I14" s="59">
        <v>2380021.25</v>
      </c>
      <c r="J14" s="59">
        <v>0</v>
      </c>
      <c r="K14" s="60"/>
      <c r="L14" s="55" t="s">
        <v>95</v>
      </c>
    </row>
    <row r="15" spans="1:12" ht="14.4" customHeight="1" x14ac:dyDescent="0.3">
      <c r="A15" s="55">
        <v>43</v>
      </c>
      <c r="B15" s="55" t="s">
        <v>15</v>
      </c>
      <c r="C15" s="58">
        <v>46256</v>
      </c>
      <c r="D15" s="59">
        <v>17745354</v>
      </c>
      <c r="E15" s="55" t="s">
        <v>91</v>
      </c>
      <c r="F15" s="58">
        <v>46316</v>
      </c>
      <c r="G15" s="59">
        <v>17745354</v>
      </c>
      <c r="H15" s="59">
        <v>0</v>
      </c>
      <c r="I15" s="59">
        <v>17745354</v>
      </c>
      <c r="J15" s="59">
        <v>0</v>
      </c>
      <c r="K15" s="60"/>
      <c r="L15" s="55" t="s">
        <v>95</v>
      </c>
    </row>
    <row r="16" spans="1:12" ht="14.4" customHeight="1" x14ac:dyDescent="0.3">
      <c r="A16" s="55">
        <v>31</v>
      </c>
      <c r="B16" s="55" t="s">
        <v>8</v>
      </c>
      <c r="C16" s="58">
        <v>46240</v>
      </c>
      <c r="D16" s="59">
        <v>21017295.5</v>
      </c>
      <c r="E16" s="55" t="s">
        <v>96</v>
      </c>
      <c r="F16" s="58">
        <v>46321</v>
      </c>
      <c r="G16" s="59">
        <v>7005765.166666667</v>
      </c>
      <c r="H16" s="59">
        <v>0</v>
      </c>
      <c r="I16" s="59">
        <v>7005765.166666667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37</v>
      </c>
      <c r="B17" s="55" t="s">
        <v>8</v>
      </c>
      <c r="C17" s="58">
        <v>46250</v>
      </c>
      <c r="D17" s="59">
        <v>8878488</v>
      </c>
      <c r="E17" s="55" t="s">
        <v>96</v>
      </c>
      <c r="F17" s="58">
        <v>46321</v>
      </c>
      <c r="G17" s="59">
        <v>2959496</v>
      </c>
      <c r="H17" s="59">
        <v>0</v>
      </c>
      <c r="I17" s="59">
        <v>2959496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44</v>
      </c>
      <c r="B18" s="55" t="s">
        <v>17</v>
      </c>
      <c r="C18" s="58">
        <v>46268</v>
      </c>
      <c r="D18" s="59">
        <v>7179524.3859649124</v>
      </c>
      <c r="E18" s="55" t="s">
        <v>91</v>
      </c>
      <c r="F18" s="58">
        <v>46321</v>
      </c>
      <c r="G18" s="59">
        <v>7179524.3859649124</v>
      </c>
      <c r="H18" s="59">
        <v>147567.97999999952</v>
      </c>
      <c r="I18" s="59">
        <v>7031956.4059649128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46</v>
      </c>
      <c r="B19" s="55" t="s">
        <v>8</v>
      </c>
      <c r="C19" s="58">
        <v>46281</v>
      </c>
      <c r="D19" s="59">
        <v>9934056</v>
      </c>
      <c r="E19" s="55" t="s">
        <v>96</v>
      </c>
      <c r="F19" s="58">
        <v>46321</v>
      </c>
      <c r="G19" s="59">
        <v>3311352</v>
      </c>
      <c r="H19" s="59">
        <v>0</v>
      </c>
      <c r="I19" s="59">
        <v>3311352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51</v>
      </c>
      <c r="B20" s="55" t="s">
        <v>11</v>
      </c>
      <c r="C20" s="58">
        <v>46292</v>
      </c>
      <c r="D20" s="59">
        <v>4576040</v>
      </c>
      <c r="E20" s="55" t="s">
        <v>91</v>
      </c>
      <c r="F20" s="58">
        <v>46322</v>
      </c>
      <c r="G20" s="59">
        <v>2288020</v>
      </c>
      <c r="H20" s="59">
        <v>0</v>
      </c>
      <c r="I20" s="59">
        <v>2288020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52</v>
      </c>
      <c r="B21" s="55" t="s">
        <v>115</v>
      </c>
      <c r="C21" s="58">
        <v>46297</v>
      </c>
      <c r="D21" s="59">
        <v>5384800</v>
      </c>
      <c r="E21" s="55" t="s">
        <v>91</v>
      </c>
      <c r="F21" s="58">
        <v>46327</v>
      </c>
      <c r="G21" s="59">
        <v>2599999.9999999991</v>
      </c>
      <c r="H21" s="59">
        <v>0</v>
      </c>
      <c r="I21" s="59">
        <v>2599999.9999999991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49</v>
      </c>
      <c r="B22" s="55" t="s">
        <v>47</v>
      </c>
      <c r="C22" s="58">
        <v>46286</v>
      </c>
      <c r="D22" s="59">
        <v>1923110</v>
      </c>
      <c r="E22" s="55" t="s">
        <v>91</v>
      </c>
      <c r="F22" s="58">
        <v>46346</v>
      </c>
      <c r="G22" s="59">
        <v>1923110</v>
      </c>
      <c r="H22" s="59">
        <v>0</v>
      </c>
      <c r="I22" s="59">
        <v>1923110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51</v>
      </c>
      <c r="B23" s="55" t="s">
        <v>11</v>
      </c>
      <c r="C23" s="58">
        <v>46292</v>
      </c>
      <c r="D23" s="59">
        <v>4576040</v>
      </c>
      <c r="E23" s="55" t="s">
        <v>94</v>
      </c>
      <c r="F23" s="58">
        <v>46353</v>
      </c>
      <c r="G23" s="59">
        <v>2288020</v>
      </c>
      <c r="H23" s="59">
        <v>0</v>
      </c>
      <c r="I23" s="59">
        <v>2288020</v>
      </c>
      <c r="J23" s="59">
        <v>0</v>
      </c>
      <c r="K23" s="60"/>
      <c r="L23" s="55" t="s">
        <v>95</v>
      </c>
    </row>
    <row r="24" spans="1:12" ht="14.4" customHeight="1" x14ac:dyDescent="0.3"/>
    <row r="25" spans="1:12" ht="14.4" customHeight="1" x14ac:dyDescent="0.3"/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3">
    <cfRule type="containsText" dxfId="5" priority="1" operator="containsText" text="مسدّد">
      <formula>NOT(ISERROR(SEARCH("مسدّد",L9)))</formula>
    </cfRule>
  </conditionalFormatting>
  <conditionalFormatting sqref="L9:L23">
    <cfRule type="containsText" dxfId="4" priority="2" operator="containsText" text="مستحق">
      <formula>NOT(ISERROR(SEARCH("مستحق",L9)))</formula>
    </cfRule>
  </conditionalFormatting>
  <conditionalFormatting sqref="L9:L23">
    <cfRule type="containsText" dxfId="3" priority="3" operator="containsText" text="قريب">
      <formula>NOT(ISERROR(SEARCH("قريب",L9)))</formula>
    </cfRule>
  </conditionalFormatting>
  <conditionalFormatting sqref="L9:L23">
    <cfRule type="containsText" dxfId="2" priority="4" operator="containsText" text="جار">
      <formula>NOT(ISERROR(SEARCH("جار",L9)))</formula>
    </cfRule>
  </conditionalFormatting>
  <conditionalFormatting sqref="L9:L23">
    <cfRule type="containsText" dxfId="1" priority="5" operator="containsText" text="بدون">
      <formula>NOT(ISERROR(SEARCH("بدون",L9)))</formula>
    </cfRule>
  </conditionalFormatting>
  <conditionalFormatting sqref="J9:J23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74609041.734912291</v>
      </c>
      <c r="C2" s="70"/>
      <c r="I2" s="3" t="s">
        <v>51</v>
      </c>
      <c r="J2" s="69">
        <f>SUM(J4:J3000)-SUM(K4:K3000)</f>
        <v>-77948535.5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77948535.5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10525280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115</v>
      </c>
      <c r="B12" s="7">
        <v>1600800.0000000019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4</v>
      </c>
      <c r="C2" s="23">
        <v>4314029.5</v>
      </c>
      <c r="D2" s="24">
        <v>29.25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8</v>
      </c>
      <c r="B4" s="27">
        <v>3</v>
      </c>
      <c r="C4" s="28">
        <v>1798007.5</v>
      </c>
      <c r="D4" s="29">
        <v>34.666666666666664</v>
      </c>
    </row>
    <row r="5" spans="1:4" x14ac:dyDescent="0.3">
      <c r="A5" s="30" t="s">
        <v>11</v>
      </c>
      <c r="B5" s="27">
        <v>1</v>
      </c>
      <c r="C5" s="28">
        <v>2516022</v>
      </c>
      <c r="D5" s="29">
        <v>13</v>
      </c>
    </row>
    <row r="6" spans="1:4" x14ac:dyDescent="0.3">
      <c r="A6" s="31"/>
      <c r="B6" s="27" t="s">
        <v>83</v>
      </c>
      <c r="C6" s="28" t="s">
        <v>83</v>
      </c>
      <c r="D6" s="29" t="s">
        <v>83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60rEBvTY+yPgyzuZ72AE+CjCoDL5xVnD5nuYYsfXnOxXSm2StsiuoKmhPs3SMUsyjNk+UZgmlYzTj2/DQX05rQ==" saltValue="xu2SZNJudN5zyhA7z0PjQQ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2026-10-05T13:20:04Z</dcterms:modified>
</cp:coreProperties>
</file>