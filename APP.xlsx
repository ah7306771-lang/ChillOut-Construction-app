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DACEE41-E857-4DFF-8F6C-1BF320EE7832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2" r:id="rId2"/>
    <sheet name="العملاء والموردين" sheetId="3" r:id="rId3"/>
    <sheet name="الرواتب" sheetId="4" r:id="rId4"/>
    <sheet name="اجمالي متأخرات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<sst xmlns="http://schemas.openxmlformats.org/spreadsheetml/2006/main" count="669" uniqueCount="99">
  <si>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</si>
  <si>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</si>
  <si>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</si>
  <si>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</si>
  <si>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</si>
  <si>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</si>
  <si>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</si>
  <si>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</si>
  <si>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</si>
  <si>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</si>
  <si>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</si>
  <si>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</si>
  <si>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</si>
  <si>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</si>
  <si>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</si>
  <si>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</si>
  <si>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</si>
  <si>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</si>
  <si>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</si>
  <si>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</si>
  <si>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</si>
  <si>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</si>
  <si>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</si>
  <si>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</si>
  <si>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</si>
  <si>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</si>
  <si>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</si>
  <si>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</si>
  <si>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</si>
  <si>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</si>
  <si>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</si>
  <si>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</si>
  <si>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</si>
  <si>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</si>
  <si>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</si>
  <si>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</si>
  <si>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</si>
  <si>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</si>
  <si>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</si>
  <si>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</si>
  <si>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</si>
  <si>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</si>
  <si>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</si>
  <si>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</si>
  <si>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</si>
  <si>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</si>
  <si>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</si>
  <si>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</si>
  <si>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</si>
  <si>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</si>
  <si>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</si>
  <si>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</si>
  <si>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</si>
  <si>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</si>
  <si>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</si>
  <si>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</si>
  <si>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</si>
  <si>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</si>
  <si>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</si>
  <si>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</si>
  <si>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</si>
  <si>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</si>
  <si>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</si>
  <si>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</si>
  <si>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</si>
  <si>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</si>
  <si>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</si>
  <si>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</si>
  <si>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</si>
  <si>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</si>
  <si>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</si>
  <si>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</si>
  <si>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</si>
  <si>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</si>
  <si>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</si>
  <si>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</si>
  <si>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</si>
  <si>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</si>
  <si>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</si>
  <si>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</si>
  <si>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</si>
  <si>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</si>
  <si>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</si>
  <si>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</si>
  <si>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</si>
  <si>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</si>
  <si>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34 يوم</t>
  </si>
  <si>
    <t>⚠ شيك متأخر 6 يوم</t>
  </si>
  <si>
    <t>⚠ شيك متأخر 3 يوم</t>
  </si>
  <si>
    <t>⚠ باقي 3 يوم</t>
  </si>
  <si>
    <t>⚠ باقي 6 يوم</t>
  </si>
  <si>
    <t>⚠ باقي 13 يوم</t>
  </si>
  <si>
    <t>⚠ باقي 17 يوم</t>
  </si>
  <si>
    <t>⚠ باقي 24 يوم</t>
  </si>
  <si>
    <t>⚠ باقي 27 يوم</t>
  </si>
  <si>
    <t>⚠ باقي 29 يوم</t>
  </si>
  <si>
    <t>⚠ باقي 33 يوم</t>
  </si>
  <si>
    <t>كاش 25% - شيك اجل 30 يوم</t>
  </si>
  <si>
    <t>اجل 60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</si>
</sst>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7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43">
        <v>46254</v>
      </c>
      <c r="E3" s="19" t="s">
        <v>9</v>
      </c>
      <c r="F3" s="19" t="s">
        <v>10</v>
      </c>
      <c r="G3" s="19" t="s">
        <v>86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43">
        <v>46282</v>
      </c>
      <c r="E4" s="19" t="s">
        <v>13</v>
      </c>
      <c r="F4" s="19" t="s">
        <v>10</v>
      </c>
      <c r="G4" s="19" t="s">
        <v>87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43">
        <v>46285</v>
      </c>
      <c r="E5" s="19" t="s">
        <v>9</v>
      </c>
      <c r="F5" s="19" t="s">
        <v>10</v>
      </c>
      <c r="G5" s="19" t="s">
        <v>88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43">
        <v>46291</v>
      </c>
      <c r="E6" s="19" t="s">
        <v>9</v>
      </c>
      <c r="F6" s="19" t="s">
        <v>10</v>
      </c>
      <c r="G6" s="19" t="s">
        <v>89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43">
        <v>46294</v>
      </c>
      <c r="E7" s="19" t="s">
        <v>13</v>
      </c>
      <c r="F7" s="19" t="s">
        <v>10</v>
      </c>
      <c r="G7" s="19" t="s">
        <v>90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43">
        <v>46301</v>
      </c>
      <c r="E8" s="19" t="s">
        <v>9</v>
      </c>
      <c r="F8" s="19" t="s">
        <v>10</v>
      </c>
      <c r="G8" s="19" t="s">
        <v>91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43">
        <v>46305</v>
      </c>
      <c r="E9" s="19" t="s">
        <v>13</v>
      </c>
      <c r="F9" s="19" t="s">
        <v>10</v>
      </c>
      <c r="G9" s="19" t="s">
        <v>92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43">
        <v>46312</v>
      </c>
      <c r="E10" s="19" t="s">
        <v>15</v>
      </c>
      <c r="F10" s="19" t="s">
        <v>10</v>
      </c>
      <c r="G10" s="19" t="s">
        <v>93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43">
        <v>46315</v>
      </c>
      <c r="E11" s="19" t="s">
        <v>9</v>
      </c>
      <c r="F11" s="19" t="s">
        <v>10</v>
      </c>
      <c r="G11" s="19" t="s">
        <v>94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43">
        <v>46317</v>
      </c>
      <c r="E12" s="19" t="s">
        <v>17</v>
      </c>
      <c r="F12" s="19" t="s">
        <v>10</v>
      </c>
      <c r="G12" s="19" t="s">
        <v>95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43">
        <v>46321</v>
      </c>
      <c r="E13" s="19" t="s">
        <v>9</v>
      </c>
      <c r="F13" s="19" t="s">
        <v>10</v>
      </c>
      <c r="G13" s="19" t="s">
        <v>96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43">
        <v>46321</v>
      </c>
      <c r="E14" s="19" t="s">
        <v>9</v>
      </c>
      <c r="F14" s="19" t="s">
        <v>10</v>
      </c>
      <c r="G14" s="19" t="s">
        <v>96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43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43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43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43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43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43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43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43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43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43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43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43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43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43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43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43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43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43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43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43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43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44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44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44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44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44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44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44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44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44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44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44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43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43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43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43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43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43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43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43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43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43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43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43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43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43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43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43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43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43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43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43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43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43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43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43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43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43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43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43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43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43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43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43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43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43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43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43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43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43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43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43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43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43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43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43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43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43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43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43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43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43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43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43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43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43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43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43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43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43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43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43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43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43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43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43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43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43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43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43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43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43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43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43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43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43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43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43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43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43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43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43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43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43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43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43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43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43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43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43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43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43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43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43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43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43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43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43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43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43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43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43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43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43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43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43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43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43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43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43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43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43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43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43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43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43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43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43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43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43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43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43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43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43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43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43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43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43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43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43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43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43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43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43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43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43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43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43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43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43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43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43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43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43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43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43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43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43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43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43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43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43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43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43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43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43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43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43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43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43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43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43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97</v>
      </c>
      <c r="F195" s="43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97</v>
      </c>
      <c r="F196" s="43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97</v>
      </c>
      <c r="F197" s="43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97</v>
      </c>
      <c r="F198" s="43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43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43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43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43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43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C204" s="34">
        <v>41500</v>
      </c>
      <c r="D204" s="33">
        <v>49</v>
      </c>
      <c r="E204" s="19" t="s">
        <v>98</v>
      </c>
      <c r="F204" s="43">
        <v>46286</v>
      </c>
      <c r="G204" s="36">
        <v>0</v>
      </c>
      <c r="H204" s="36">
        <v>131970</v>
      </c>
    </row>
    <row r="205" spans="1:8" x14ac:dyDescent="0.3">
      <c r="A205" s="19" t="s">
        <v>48</v>
      </c>
      <c r="C205" s="34">
        <v>41500</v>
      </c>
      <c r="D205" s="33">
        <v>49</v>
      </c>
      <c r="E205" s="19" t="s">
        <v>98</v>
      </c>
      <c r="F205" s="43">
        <v>46286</v>
      </c>
      <c r="G205" s="36">
        <v>0</v>
      </c>
      <c r="H205" s="36">
        <v>973590</v>
      </c>
    </row>
    <row r="206" spans="1:8" x14ac:dyDescent="0.3">
      <c r="A206" s="19" t="s">
        <v>48</v>
      </c>
      <c r="C206" s="34">
        <v>41500</v>
      </c>
      <c r="D206" s="33">
        <v>49</v>
      </c>
      <c r="E206" s="19" t="s">
        <v>98</v>
      </c>
      <c r="F206" s="43">
        <v>46286</v>
      </c>
      <c r="G206" s="36">
        <v>0</v>
      </c>
      <c r="H206" s="36">
        <v>162265</v>
      </c>
    </row>
    <row r="207" spans="1:8" x14ac:dyDescent="0.3">
      <c r="A207" s="19" t="s">
        <v>48</v>
      </c>
      <c r="C207" s="34">
        <v>41500</v>
      </c>
      <c r="D207" s="33">
        <v>49</v>
      </c>
      <c r="E207" s="19" t="s">
        <v>98</v>
      </c>
      <c r="F207" s="43">
        <v>46286</v>
      </c>
      <c r="G207" s="36">
        <v>0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43"/>
      <c r="G208" s="36">
        <v>0</v>
      </c>
      <c r="H208" s="36">
        <v>0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43"/>
      <c r="G209" s="36">
        <v>0</v>
      </c>
      <c r="H209" s="36">
        <v>0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43"/>
      <c r="G210" s="36">
        <v>0</v>
      </c>
      <c r="H210" s="36">
        <v>0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43"/>
      <c r="G211" s="36">
        <v>0</v>
      </c>
      <c r="H211" s="36">
        <v>0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43"/>
      <c r="G212" s="36">
        <v>0</v>
      </c>
      <c r="H212" s="3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9" t="s">
        <v>51</v>
      </c>
      <c r="B1" s="40"/>
      <c r="C1" s="40"/>
      <c r="I1" s="39" t="s">
        <v>52</v>
      </c>
      <c r="J1" s="40"/>
      <c r="K1" s="40"/>
    </row>
    <row r="2" spans="1:11" x14ac:dyDescent="0.3">
      <c r="A2" s="2" t="s">
        <v>53</v>
      </c>
      <c r="B2" s="41">
        <f>SUM(B4:B3000)-SUM(C4:C3000)</f>
        <v>88037915.734912291</v>
      </c>
      <c r="C2" s="42"/>
      <c r="I2" s="3" t="s">
        <v>53</v>
      </c>
      <c r="J2" s="41">
        <f>SUM(J4:J3000)-SUM(K4:K3000)</f>
        <v>-88186791.5</v>
      </c>
      <c r="K2" s="42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88186791.5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6833524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activeCell="C5" sqref="C5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38" t="s">
        <v>80</v>
      </c>
      <c r="B1" s="38"/>
      <c r="C1" s="38"/>
      <c r="D1" s="38"/>
    </row>
    <row r="2" spans="1:4" x14ac:dyDescent="0.3">
      <c r="A2" s="21" t="s">
        <v>81</v>
      </c>
      <c r="B2" s="22">
        <v>5</v>
      </c>
      <c r="C2" s="23">
        <v>6160348.5</v>
      </c>
      <c r="D2" s="24">
        <v>11.2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19.5</v>
      </c>
    </row>
    <row r="5" spans="1:4" x14ac:dyDescent="0.3">
      <c r="A5" s="30" t="s">
        <v>12</v>
      </c>
      <c r="B5" s="27">
        <v>3</v>
      </c>
      <c r="C5" s="28">
        <v>3400306</v>
      </c>
      <c r="D5" s="29">
        <v>5.666666666666667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UV/I331wfsewEExhAx8E9G0HpQTI4a5rSm96cRYMmgA/jxvRHXCQ4gvkcE4qPuuNKl1iv4GJxq4hKiW7q/cVhg==" saltValue="uGv37YZHY+n9qgqq/mpXg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2026-09-23T08:24:59Z</dcterms:modified>
</cp:coreProperties>
</file>