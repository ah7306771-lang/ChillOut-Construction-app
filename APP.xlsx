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8069F2B-3F02-4ADC-9FC3-74C82472B170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<sst xmlns="http://schemas.openxmlformats.org/spreadsheetml/2006/main" count="755" uniqueCount="152">
  <si>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</si>
  <si>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</si>
  <si>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</si>
  <si>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</si>
  <si>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</si>
  <si>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</si>
  <si>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</si>
  <si>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</si>
  <si>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</si>
  <si>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</si>
  <si>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</si>
  <si>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</si>
  <si>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</si>
  <si>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</si>
  <si>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</si>
  <si>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</si>
  <si>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</si>
  <si>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</si>
  <si>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</si>
  <si>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</si>
  <si>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</si>
  <si>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</si>
  <si>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</si>
  <si>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</si>
  <si>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</si>
  <si>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</si>
  <si>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</si>
  <si>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</si>
  <si>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</si>
  <si>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</si>
  <si>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</si>
  <si>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</si>
  <si>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</si>
  <si>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</si>
  <si>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</si>
  <si>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</si>
  <si>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</si>
  <si>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</si>
  <si>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</si>
  <si>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</si>
  <si>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</si>
  <si>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</si>
  <si>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</si>
  <si>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</si>
  <si>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</si>
  <si>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</si>
  <si>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</si>
  <si>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</si>
  <si>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</si>
  <si>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</si>
  <si>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</si>
  <si>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</si>
  <si>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</si>
  <si>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</si>
  <si>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</si>
  <si>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</si>
  <si>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</si>
  <si>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</si>
  <si>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</si>
  <si>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</si>
  <si>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</si>
  <si>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</si>
  <si>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</si>
  <si>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</si>
  <si>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</si>
  <si>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</si>
  <si>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</si>
  <si>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</si>
  <si>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</si>
  <si>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</si>
  <si>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</si>
  <si>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</si>
  <si>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</si>
  <si>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</si>
  <si>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</si>
  <si>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</si>
  <si>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</si>
  <si>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</si>
  <si>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</si>
  <si>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</si>
  <si>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</si>
  <si>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</si>
  <si>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</si>
  <si>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</si>
  <si>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</si>
  <si>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</si>
  <si>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</si>
  <si>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</si>
  <si>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</si>
  <si>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</si>
  <si>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</si>
  <si>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</si>
  <si>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</si>
  <si>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</si>
  <si>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</si>
  <si>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</si>
  <si>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</si>
  <si>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</si>
  <si>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</si>
  <si>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</si>
  <si>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</si>
  <si>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</si>
  <si>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</si>
  <si>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</si>
  <si>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</si>
  <si>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</si>
  <si>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</si>
  <si>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</si>
  <si>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</si>
  <si>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</si>
  <si>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</si>
  <si>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⚠ باقي 4 يوم</t>
  </si>
  <si>
    <t>10 أيام</t>
  </si>
  <si>
    <t>5 أيام</t>
  </si>
  <si>
    <t>⚠ باقي 2 يوم</t>
  </si>
  <si>
    <t>⚠ باقي 6 يوم</t>
  </si>
  <si>
    <t>⚠ باقي 31 يوم</t>
  </si>
  <si>
    <t>🔔 قريب الاستحقاق
25,080,128</t>
  </si>
  <si>
    <t>14 يوم</t>
  </si>
  <si>
    <t>12 يوم</t>
  </si>
  <si>
    <t>6 أيام</t>
  </si>
  <si>
    <t>🔔 قريب</t>
  </si>
  <si>
    <t>الوزن الفعلي</t>
  </si>
  <si>
    <t>⚠ متأخر
41,126,379</t>
  </si>
  <si>
    <t>✅ مسدّد
182,556,778</t>
  </si>
  <si>
    <t>🟢 جارٍ
30,438,356</t>
  </si>
  <si>
    <t>⚠ شيك متأخر 4 يوم</t>
  </si>
  <si>
    <t>⚠ مستحق النهاردة</t>
  </si>
  <si>
    <t>⚠ باقي 1 يوم</t>
  </si>
  <si>
    <t>⚠ باقي 32 يوم</t>
  </si>
  <si>
    <t>⚠ باقي 35 يوم</t>
  </si>
  <si>
    <t>⚠ باقي 29 يوم</t>
  </si>
  <si>
    <t>⚠ باقي 13 يوم</t>
  </si>
  <si>
    <t>16 يوم</t>
  </si>
  <si>
    <t>11 يوم</t>
  </si>
  <si>
    <t>7 أيام</t>
  </si>
  <si>
    <t>🔔 متبقي يومان</t>
  </si>
  <si>
    <t>🔔 متبقي 3 أيام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</si>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</sst>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9" fontId="0" fillId="0" borderId="0" xfId="0" applyNumberFormat="1" applyAlignment="1">
      <alignment horizontal="center"/>
    </xf>
  </cellXfs>
  <cellStyles count="1">
    <cellStyle name="Normal" xfId="0" builtinId="0"/>
  </cellStyles>
  <dxfs count="57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B6" sqref="B5:B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307384</v>
      </c>
      <c r="C3" s="19">
        <v>13300000</v>
      </c>
      <c r="D3" s="84">
        <v>46321</v>
      </c>
      <c r="E3" s="19" t="s">
        <v>9</v>
      </c>
      <c r="F3" s="19" t="s">
        <v>10</v>
      </c>
      <c r="G3" s="19" t="s">
        <v>114</v>
      </c>
      <c r="H3" s="19" t="s">
        <v>108</v>
      </c>
      <c r="I3" s="19"/>
    </row>
    <row r="4" spans="1:9" x14ac:dyDescent="0.3">
      <c r="A4" s="19" t="s">
        <v>15</v>
      </c>
      <c r="B4" s="19">
        <v>13249953</v>
      </c>
      <c r="C4" s="19">
        <v>7167694.6299999999</v>
      </c>
      <c r="D4" s="84">
        <v>46321</v>
      </c>
      <c r="E4" s="19" t="s">
        <v>9</v>
      </c>
      <c r="F4" s="19" t="s">
        <v>10</v>
      </c>
      <c r="G4" s="19" t="s">
        <v>114</v>
      </c>
      <c r="H4" s="19"/>
      <c r="I4" s="19"/>
    </row>
    <row r="5" spans="1:9" x14ac:dyDescent="0.3">
      <c r="A5" s="19" t="s">
        <v>11</v>
      </c>
      <c r="B5" s="19">
        <v>551298792</v>
      </c>
      <c r="C5" s="19">
        <v>3433000</v>
      </c>
      <c r="D5" s="84">
        <v>46315</v>
      </c>
      <c r="E5" s="19" t="s">
        <v>12</v>
      </c>
      <c r="F5" s="19" t="s">
        <v>10</v>
      </c>
      <c r="G5" s="19" t="s">
        <v>126</v>
      </c>
      <c r="H5" s="19"/>
      <c r="I5" s="19"/>
    </row>
    <row r="6" spans="1:9" x14ac:dyDescent="0.3">
      <c r="A6" s="19" t="s">
        <v>11</v>
      </c>
      <c r="B6" s="19">
        <v>552585548</v>
      </c>
      <c r="C6" s="19">
        <v>805700</v>
      </c>
      <c r="D6" s="84">
        <v>46319</v>
      </c>
      <c r="E6" s="19" t="s">
        <v>12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11</v>
      </c>
      <c r="B7" s="19">
        <v>67491042</v>
      </c>
      <c r="C7" s="19">
        <v>304550</v>
      </c>
      <c r="D7" s="84">
        <v>46320</v>
      </c>
      <c r="E7" s="19" t="s">
        <v>97</v>
      </c>
      <c r="F7" s="19" t="s">
        <v>10</v>
      </c>
      <c r="G7" s="19" t="s">
        <v>128</v>
      </c>
      <c r="H7" s="19"/>
      <c r="I7" s="19"/>
    </row>
    <row r="8" spans="1:9" x14ac:dyDescent="0.3">
      <c r="A8" s="19" t="s">
        <v>11</v>
      </c>
      <c r="B8" s="19">
        <v>532070</v>
      </c>
      <c r="C8" s="19">
        <v>1500000</v>
      </c>
      <c r="D8" s="84">
        <v>46323</v>
      </c>
      <c r="E8" s="19" t="s">
        <v>98</v>
      </c>
      <c r="F8" s="19" t="s">
        <v>10</v>
      </c>
      <c r="G8" s="19" t="s">
        <v>111</v>
      </c>
      <c r="H8" s="19"/>
      <c r="I8" s="19"/>
    </row>
    <row r="9" spans="1:9" x14ac:dyDescent="0.3">
      <c r="A9" s="19" t="s">
        <v>11</v>
      </c>
      <c r="B9" s="19">
        <v>552585549</v>
      </c>
      <c r="C9" s="19">
        <v>805700</v>
      </c>
      <c r="D9" s="84">
        <v>46350</v>
      </c>
      <c r="E9" s="19" t="s">
        <v>12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11</v>
      </c>
      <c r="B10" s="19">
        <v>67491043</v>
      </c>
      <c r="C10" s="19">
        <v>304550</v>
      </c>
      <c r="D10" s="84">
        <v>46351</v>
      </c>
      <c r="E10" s="19" t="s">
        <v>97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11</v>
      </c>
      <c r="B11" s="19">
        <v>551695622</v>
      </c>
      <c r="C11" s="19">
        <v>855540</v>
      </c>
      <c r="D11" s="84">
        <v>46354</v>
      </c>
      <c r="E11" s="19" t="s">
        <v>12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99</v>
      </c>
      <c r="B12" s="19">
        <v>74668</v>
      </c>
      <c r="C12" s="19">
        <v>1400000</v>
      </c>
      <c r="D12" s="84">
        <v>46325</v>
      </c>
      <c r="E12" s="19" t="s">
        <v>9</v>
      </c>
      <c r="F12" s="19" t="s">
        <v>10</v>
      </c>
      <c r="G12" s="19" t="s">
        <v>115</v>
      </c>
      <c r="H12" s="19"/>
      <c r="I12" s="19"/>
    </row>
    <row r="13" spans="1:9" x14ac:dyDescent="0.3">
      <c r="A13" s="19" t="s">
        <v>99</v>
      </c>
      <c r="B13" s="19">
        <v>74669</v>
      </c>
      <c r="C13" s="19">
        <v>1200000</v>
      </c>
      <c r="D13" s="84">
        <v>46325</v>
      </c>
      <c r="E13" s="19" t="s">
        <v>9</v>
      </c>
      <c r="F13" s="19" t="s">
        <v>10</v>
      </c>
      <c r="G13" s="19" t="s">
        <v>115</v>
      </c>
      <c r="H13" s="19"/>
      <c r="I13" s="19"/>
    </row>
    <row r="14" spans="1:9" x14ac:dyDescent="0.3">
      <c r="A14" s="19" t="s">
        <v>38</v>
      </c>
      <c r="B14" s="19"/>
      <c r="C14" s="19">
        <v>1923110</v>
      </c>
      <c r="D14" s="84">
        <v>46348</v>
      </c>
      <c r="E14" s="19"/>
      <c r="F14" s="19" t="s">
        <v>10</v>
      </c>
      <c r="G14" s="19" t="s">
        <v>131</v>
      </c>
      <c r="H14" s="19" t="s">
        <v>107</v>
      </c>
      <c r="I14" s="19"/>
    </row>
    <row r="15" spans="1:9" x14ac:dyDescent="0.3">
      <c r="A15" s="19" t="s">
        <v>99</v>
      </c>
      <c r="B15" s="19">
        <v>74675</v>
      </c>
      <c r="C15" s="19">
        <v>2395732.5</v>
      </c>
      <c r="D15" s="84">
        <v>46332</v>
      </c>
      <c r="E15" s="19" t="s">
        <v>9</v>
      </c>
      <c r="F15" s="19" t="s">
        <v>10</v>
      </c>
      <c r="G15" s="19" t="s">
        <v>132</v>
      </c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23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53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17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G3" sqref="G3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2" t="s">
        <v>0</v>
      </c>
      <c r="B2" s="62" t="s">
        <v>149</v>
      </c>
      <c r="C2" s="62" t="s">
        <v>150</v>
      </c>
      <c r="D2" s="62" t="s">
        <v>89</v>
      </c>
      <c r="E2" s="62" t="s">
        <v>151</v>
      </c>
      <c r="F2" s="62" t="s">
        <v>87</v>
      </c>
      <c r="G2" s="62" t="s">
        <v>17</v>
      </c>
      <c r="H2" s="62" t="s">
        <v>18</v>
      </c>
      <c r="I2" s="62" t="s">
        <v>122</v>
      </c>
      <c r="J2" s="62"/>
      <c r="K2" s="62"/>
      <c r="L2" s="62"/>
      <c r="M2" s="62"/>
      <c r="N2" s="62"/>
      <c r="O2" s="62"/>
      <c r="P2" s="62"/>
      <c r="Q2" s="62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4">
        <v>46200</v>
      </c>
      <c r="G3" s="33">
        <v>537703.5</v>
      </c>
      <c r="H3" s="33">
        <v>549289</v>
      </c>
      <c r="I3" s="33">
        <v>13.63</v>
      </c>
      <c r="P3" s="86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4">
        <v>46200</v>
      </c>
      <c r="G4" s="33">
        <v>1384300.5000000002</v>
      </c>
      <c r="H4" s="33">
        <v>1414127.0000000002</v>
      </c>
      <c r="I4" s="33">
        <v>35.090000000000003</v>
      </c>
      <c r="P4" s="86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4">
        <v>46209</v>
      </c>
      <c r="G5" s="33">
        <v>559240</v>
      </c>
      <c r="H5" s="33">
        <v>579700</v>
      </c>
      <c r="I5" s="33">
        <v>13.64</v>
      </c>
      <c r="P5" s="86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4">
        <v>46209</v>
      </c>
      <c r="G6" s="33">
        <v>558420</v>
      </c>
      <c r="H6" s="33">
        <v>578850</v>
      </c>
      <c r="I6" s="33">
        <v>13.62</v>
      </c>
      <c r="P6" s="86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4">
        <v>46209</v>
      </c>
      <c r="G7" s="33">
        <v>1205400</v>
      </c>
      <c r="H7" s="33">
        <v>1249500</v>
      </c>
      <c r="I7" s="33">
        <v>29.4</v>
      </c>
      <c r="P7" s="86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4">
        <v>46209</v>
      </c>
      <c r="G8" s="33">
        <v>638780</v>
      </c>
      <c r="H8" s="33">
        <v>662150</v>
      </c>
      <c r="I8" s="33">
        <v>15.58</v>
      </c>
      <c r="P8" s="86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4">
        <v>46211</v>
      </c>
      <c r="G9" s="33">
        <v>316800</v>
      </c>
      <c r="H9" s="33">
        <v>318384</v>
      </c>
      <c r="I9" s="33">
        <v>7.92</v>
      </c>
      <c r="P9" s="86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4">
        <v>46211</v>
      </c>
      <c r="G10" s="33">
        <v>1030400.0000000001</v>
      </c>
      <c r="H10" s="33">
        <v>1035552.0000000001</v>
      </c>
      <c r="I10" s="33">
        <v>25.76</v>
      </c>
      <c r="P10" s="86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4">
        <v>46211</v>
      </c>
      <c r="G11" s="33">
        <v>389600</v>
      </c>
      <c r="H11" s="33">
        <v>391548</v>
      </c>
      <c r="I11" s="33">
        <v>9.74</v>
      </c>
      <c r="P11" s="86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4">
        <v>46211</v>
      </c>
      <c r="G12" s="33">
        <v>257000</v>
      </c>
      <c r="H12" s="33">
        <v>258285</v>
      </c>
      <c r="I12" s="33">
        <v>6.4249999999999998</v>
      </c>
      <c r="P12" s="86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4">
        <v>46211</v>
      </c>
      <c r="G13" s="33">
        <v>791600</v>
      </c>
      <c r="H13" s="33">
        <v>795558</v>
      </c>
      <c r="I13" s="33">
        <v>19.79</v>
      </c>
      <c r="P13" s="86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4">
        <v>46211</v>
      </c>
      <c r="G14" s="33">
        <v>790800</v>
      </c>
      <c r="H14" s="33">
        <v>794754</v>
      </c>
      <c r="I14" s="33">
        <v>19.77</v>
      </c>
      <c r="P14" s="86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4">
        <v>46211</v>
      </c>
      <c r="G15" s="33">
        <v>77600</v>
      </c>
      <c r="H15" s="33">
        <v>77988</v>
      </c>
      <c r="I15" s="33">
        <v>1.94</v>
      </c>
      <c r="P15" s="86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4">
        <v>46211</v>
      </c>
      <c r="G16" s="33">
        <v>192000</v>
      </c>
      <c r="H16" s="33">
        <v>192960</v>
      </c>
      <c r="I16" s="33">
        <v>4.8</v>
      </c>
      <c r="P16" s="86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4">
        <v>46211</v>
      </c>
      <c r="G17" s="33">
        <v>236400</v>
      </c>
      <c r="H17" s="33">
        <v>237582</v>
      </c>
      <c r="I17" s="33">
        <v>5.91</v>
      </c>
      <c r="P17" s="86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4">
        <v>46211</v>
      </c>
      <c r="G18" s="33">
        <v>872000</v>
      </c>
      <c r="H18" s="33">
        <v>876360</v>
      </c>
      <c r="I18" s="33">
        <v>21.8</v>
      </c>
      <c r="P18" s="86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4">
        <v>46211</v>
      </c>
      <c r="G19" s="33">
        <v>625200</v>
      </c>
      <c r="H19" s="33">
        <v>628326</v>
      </c>
      <c r="I19" s="33">
        <v>15.63</v>
      </c>
      <c r="P19" s="86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4">
        <v>46211</v>
      </c>
      <c r="G20" s="33">
        <v>254800</v>
      </c>
      <c r="H20" s="33">
        <v>256074</v>
      </c>
      <c r="I20" s="33">
        <v>6.37</v>
      </c>
      <c r="P20" s="86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4">
        <v>46211</v>
      </c>
      <c r="G21" s="33">
        <v>314400</v>
      </c>
      <c r="H21" s="33">
        <v>315972</v>
      </c>
      <c r="I21" s="33">
        <v>7.86</v>
      </c>
      <c r="P21" s="86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4">
        <v>46211</v>
      </c>
      <c r="G22" s="33">
        <v>1029599.9999999999</v>
      </c>
      <c r="H22" s="33">
        <v>1034747.9999999999</v>
      </c>
      <c r="I22" s="33">
        <v>25.74</v>
      </c>
      <c r="P22" s="86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4">
        <v>46211</v>
      </c>
      <c r="G23" s="33">
        <v>384799.99999999994</v>
      </c>
      <c r="H23" s="33">
        <v>386723.99999999994</v>
      </c>
      <c r="I23" s="33">
        <v>9.6199999999999992</v>
      </c>
      <c r="P23" s="86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5">
        <v>46211</v>
      </c>
      <c r="G24" s="33">
        <v>255799.99999999997</v>
      </c>
      <c r="H24" s="33">
        <v>257078.99999999997</v>
      </c>
      <c r="I24" s="33">
        <v>6.3949999999999996</v>
      </c>
      <c r="P24" s="86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5">
        <v>46217</v>
      </c>
      <c r="G25" s="33">
        <v>74295</v>
      </c>
      <c r="H25" s="33">
        <v>74295</v>
      </c>
      <c r="I25" s="33">
        <v>1.95</v>
      </c>
      <c r="P25" s="86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5">
        <v>46217</v>
      </c>
      <c r="G26" s="33">
        <v>1496568</v>
      </c>
      <c r="H26" s="33">
        <v>1496568</v>
      </c>
      <c r="I26" s="33">
        <v>39.28</v>
      </c>
      <c r="P26" s="86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5">
        <v>46217</v>
      </c>
      <c r="G27" s="33">
        <v>374523</v>
      </c>
      <c r="H27" s="33">
        <v>374523</v>
      </c>
      <c r="I27" s="33">
        <v>9.83</v>
      </c>
      <c r="P27" s="86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5">
        <v>46217</v>
      </c>
      <c r="G28" s="33">
        <v>2649474.0000000005</v>
      </c>
      <c r="H28" s="33">
        <v>2649474.0000000005</v>
      </c>
      <c r="I28" s="33">
        <v>69.540000000000006</v>
      </c>
      <c r="P28" s="86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5">
        <v>46221</v>
      </c>
      <c r="G29" s="33">
        <v>895875</v>
      </c>
      <c r="H29" s="33">
        <v>898264</v>
      </c>
      <c r="I29" s="33">
        <v>23.89</v>
      </c>
      <c r="P29" s="86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5">
        <v>46221</v>
      </c>
      <c r="G30" s="33">
        <v>443250</v>
      </c>
      <c r="H30" s="33">
        <v>444432</v>
      </c>
      <c r="I30" s="33">
        <v>11.82</v>
      </c>
      <c r="P30" s="86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5">
        <v>46221</v>
      </c>
      <c r="G31" s="33">
        <v>805125</v>
      </c>
      <c r="H31" s="33">
        <v>807272</v>
      </c>
      <c r="I31" s="33">
        <v>21.47</v>
      </c>
      <c r="P31" s="86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5">
        <v>46217</v>
      </c>
      <c r="G32" s="33">
        <v>1117125</v>
      </c>
      <c r="H32" s="33">
        <v>1120104</v>
      </c>
      <c r="I32" s="33">
        <v>29.79</v>
      </c>
      <c r="P32" s="86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5">
        <v>46217</v>
      </c>
      <c r="G33" s="33">
        <v>1248375</v>
      </c>
      <c r="H33" s="33">
        <v>1251704</v>
      </c>
      <c r="I33" s="33">
        <v>33.29</v>
      </c>
      <c r="P33" s="86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5">
        <v>46217</v>
      </c>
      <c r="G34" s="33">
        <v>1920000</v>
      </c>
      <c r="H34" s="33">
        <v>1925120</v>
      </c>
      <c r="I34" s="33">
        <v>51.2</v>
      </c>
      <c r="P34" s="86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4">
        <v>46217</v>
      </c>
      <c r="G35" s="33">
        <v>438000</v>
      </c>
      <c r="H35" s="33">
        <v>439168</v>
      </c>
      <c r="I35" s="33">
        <v>11.68</v>
      </c>
      <c r="P35" s="86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4">
        <v>46217</v>
      </c>
      <c r="G36" s="33">
        <v>292500</v>
      </c>
      <c r="H36" s="33">
        <v>293280</v>
      </c>
      <c r="I36" s="33">
        <v>7.8</v>
      </c>
      <c r="P36" s="86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4">
        <v>46217</v>
      </c>
      <c r="G37" s="33">
        <v>807750</v>
      </c>
      <c r="H37" s="33">
        <v>809904</v>
      </c>
      <c r="I37" s="33">
        <v>21.54</v>
      </c>
      <c r="P37" s="86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4">
        <v>46217</v>
      </c>
      <c r="G38" s="33">
        <v>295500</v>
      </c>
      <c r="H38" s="33">
        <v>296288</v>
      </c>
      <c r="I38" s="33">
        <v>7.88</v>
      </c>
      <c r="P38" s="86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4">
        <v>46217</v>
      </c>
      <c r="G39" s="33">
        <v>120000</v>
      </c>
      <c r="H39" s="33">
        <v>120320</v>
      </c>
      <c r="I39" s="33">
        <v>3.2</v>
      </c>
      <c r="P39" s="86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4">
        <v>46217</v>
      </c>
      <c r="G40" s="33">
        <v>1856250</v>
      </c>
      <c r="H40" s="33">
        <v>1861200</v>
      </c>
      <c r="I40" s="33">
        <v>49.5</v>
      </c>
      <c r="P40" s="86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4">
        <v>46217</v>
      </c>
      <c r="G41" s="33">
        <v>1854000</v>
      </c>
      <c r="H41" s="33">
        <v>1858944</v>
      </c>
      <c r="I41" s="33">
        <v>49.44</v>
      </c>
      <c r="P41" s="86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4">
        <v>46217</v>
      </c>
      <c r="G42" s="33">
        <v>1462125</v>
      </c>
      <c r="H42" s="33">
        <v>1466024</v>
      </c>
      <c r="I42" s="33">
        <v>38.99</v>
      </c>
      <c r="P42" s="86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4">
        <v>46217</v>
      </c>
      <c r="G43" s="33">
        <v>588375</v>
      </c>
      <c r="H43" s="33">
        <v>589944</v>
      </c>
      <c r="I43" s="33">
        <v>15.69</v>
      </c>
      <c r="P43" s="86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4">
        <v>46217</v>
      </c>
      <c r="G44" s="33">
        <v>1976250</v>
      </c>
      <c r="H44" s="33">
        <v>1981520</v>
      </c>
      <c r="I44" s="33">
        <v>52.7</v>
      </c>
      <c r="P44" s="86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4">
        <v>46217</v>
      </c>
      <c r="G45" s="33">
        <v>1020000</v>
      </c>
      <c r="H45" s="33">
        <v>1022720</v>
      </c>
      <c r="I45" s="33">
        <v>27.2</v>
      </c>
      <c r="P45" s="86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4">
        <v>46217</v>
      </c>
      <c r="G46" s="33">
        <v>120000</v>
      </c>
      <c r="H46" s="33">
        <v>120320</v>
      </c>
      <c r="I46" s="33">
        <v>3.2</v>
      </c>
      <c r="P46" s="86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4">
        <v>46217</v>
      </c>
      <c r="G47" s="33">
        <v>120000</v>
      </c>
      <c r="H47" s="33">
        <v>120320</v>
      </c>
      <c r="I47" s="33">
        <v>3.2</v>
      </c>
      <c r="P47" s="86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4">
        <v>46217</v>
      </c>
      <c r="G48" s="33">
        <v>368625</v>
      </c>
      <c r="H48" s="33">
        <v>369608</v>
      </c>
      <c r="I48" s="33">
        <v>9.83</v>
      </c>
      <c r="P48" s="86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4">
        <v>46217</v>
      </c>
      <c r="G49" s="33">
        <v>957375</v>
      </c>
      <c r="H49" s="33">
        <v>959928</v>
      </c>
      <c r="I49" s="33">
        <v>25.53</v>
      </c>
      <c r="P49" s="86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4">
        <v>46217</v>
      </c>
      <c r="G50" s="33">
        <v>733500</v>
      </c>
      <c r="H50" s="33">
        <v>735456</v>
      </c>
      <c r="I50" s="33">
        <v>19.559999999999999</v>
      </c>
      <c r="P50" s="86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4">
        <v>46217</v>
      </c>
      <c r="G51" s="33">
        <v>2197500</v>
      </c>
      <c r="H51" s="33">
        <v>2203360</v>
      </c>
      <c r="I51" s="33">
        <v>58.6</v>
      </c>
      <c r="P51" s="86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4">
        <v>46217</v>
      </c>
      <c r="G52" s="33">
        <v>1053750</v>
      </c>
      <c r="H52" s="33">
        <v>1056560</v>
      </c>
      <c r="I52" s="33">
        <v>28.1</v>
      </c>
      <c r="P52" s="86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4">
        <v>46217</v>
      </c>
      <c r="G53" s="33">
        <v>2089500</v>
      </c>
      <c r="H53" s="33">
        <v>2095072</v>
      </c>
      <c r="I53" s="33">
        <v>55.72</v>
      </c>
      <c r="P53" s="86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4">
        <v>46217</v>
      </c>
      <c r="G54" s="33">
        <v>573000</v>
      </c>
      <c r="H54" s="33">
        <v>574528</v>
      </c>
      <c r="I54" s="33">
        <v>15.28</v>
      </c>
      <c r="P54" s="86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4">
        <v>46217</v>
      </c>
      <c r="G55" s="33">
        <v>1353000</v>
      </c>
      <c r="H55" s="33">
        <v>1356608</v>
      </c>
      <c r="I55" s="33">
        <v>36.08</v>
      </c>
      <c r="P55" s="86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4">
        <v>46218</v>
      </c>
      <c r="G56" s="33">
        <v>239250</v>
      </c>
      <c r="H56" s="33">
        <v>239888</v>
      </c>
      <c r="I56" s="33">
        <v>6.38</v>
      </c>
      <c r="P56" s="86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4">
        <v>46218</v>
      </c>
      <c r="G57" s="33">
        <v>119250</v>
      </c>
      <c r="H57" s="33">
        <v>119568</v>
      </c>
      <c r="I57" s="33">
        <v>3.18</v>
      </c>
      <c r="P57" s="86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4">
        <v>46218</v>
      </c>
      <c r="G58" s="33">
        <v>1832250</v>
      </c>
      <c r="H58" s="33">
        <v>1837136</v>
      </c>
      <c r="I58" s="33">
        <v>48.86</v>
      </c>
      <c r="P58" s="86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4">
        <v>46218</v>
      </c>
      <c r="G59" s="33">
        <v>1492875</v>
      </c>
      <c r="H59" s="33">
        <v>1496856</v>
      </c>
      <c r="I59" s="33">
        <v>39.81</v>
      </c>
      <c r="P59" s="86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4">
        <v>46218</v>
      </c>
      <c r="G60" s="33">
        <v>148500</v>
      </c>
      <c r="H60" s="33">
        <v>148896</v>
      </c>
      <c r="I60" s="33">
        <v>3.96</v>
      </c>
      <c r="P60" s="86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4">
        <v>46218</v>
      </c>
      <c r="G61" s="33">
        <v>454499.99999999994</v>
      </c>
      <c r="H61" s="33">
        <v>455711.99999999994</v>
      </c>
      <c r="I61" s="33">
        <v>12.12</v>
      </c>
      <c r="P61" s="86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4">
        <v>46218</v>
      </c>
      <c r="G62" s="33">
        <v>215625</v>
      </c>
      <c r="H62" s="33">
        <v>216200</v>
      </c>
      <c r="I62" s="33">
        <v>5.75</v>
      </c>
      <c r="P62" s="86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4">
        <v>46217</v>
      </c>
      <c r="G63" s="33">
        <v>875250</v>
      </c>
      <c r="H63" s="33">
        <v>877584</v>
      </c>
      <c r="I63" s="33">
        <v>23.34</v>
      </c>
      <c r="P63" s="86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4">
        <v>46217</v>
      </c>
      <c r="G64" s="33">
        <v>725625</v>
      </c>
      <c r="H64" s="33">
        <v>727560</v>
      </c>
      <c r="I64" s="33">
        <v>19.350000000000001</v>
      </c>
      <c r="P64" s="86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4">
        <v>46217</v>
      </c>
      <c r="G65" s="33">
        <v>379875.00000000006</v>
      </c>
      <c r="H65" s="33">
        <v>380888.00000000006</v>
      </c>
      <c r="I65" s="33">
        <v>10.130000000000001</v>
      </c>
      <c r="P65" s="86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4">
        <v>46218</v>
      </c>
      <c r="G66" s="33">
        <v>119250</v>
      </c>
      <c r="H66" s="33">
        <v>119568</v>
      </c>
      <c r="I66" s="33">
        <v>3.18</v>
      </c>
      <c r="P66" s="86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4">
        <v>46218</v>
      </c>
      <c r="G67" s="33">
        <v>743624.99999999988</v>
      </c>
      <c r="H67" s="33">
        <v>745607.99999999988</v>
      </c>
      <c r="I67" s="33">
        <v>19.829999999999998</v>
      </c>
      <c r="P67" s="86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4">
        <v>46218</v>
      </c>
      <c r="G68" s="33">
        <v>664125</v>
      </c>
      <c r="H68" s="33">
        <v>665896</v>
      </c>
      <c r="I68" s="33">
        <v>17.71</v>
      </c>
      <c r="P68" s="86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4">
        <v>46218</v>
      </c>
      <c r="G69" s="33">
        <v>365250</v>
      </c>
      <c r="H69" s="33">
        <v>366224</v>
      </c>
      <c r="I69" s="33">
        <v>9.74</v>
      </c>
      <c r="P69" s="86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4">
        <v>46218</v>
      </c>
      <c r="G70" s="33">
        <v>758999.99999999988</v>
      </c>
      <c r="H70" s="33">
        <v>761023.99999999988</v>
      </c>
      <c r="I70" s="33">
        <v>20.239999999999998</v>
      </c>
      <c r="P70" s="86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4">
        <v>46217</v>
      </c>
      <c r="G71" s="33">
        <v>120000</v>
      </c>
      <c r="H71" s="33">
        <v>120320</v>
      </c>
      <c r="I71" s="33">
        <v>3.2</v>
      </c>
      <c r="P71" s="86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4">
        <v>46217</v>
      </c>
      <c r="G72" s="33">
        <v>518625</v>
      </c>
      <c r="H72" s="33">
        <v>520008</v>
      </c>
      <c r="I72" s="33">
        <v>13.83</v>
      </c>
      <c r="P72" s="86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4">
        <v>46217</v>
      </c>
      <c r="G73" s="33">
        <v>222000</v>
      </c>
      <c r="H73" s="33">
        <v>222592</v>
      </c>
      <c r="I73" s="33">
        <v>5.92</v>
      </c>
      <c r="P73" s="86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4">
        <v>46217</v>
      </c>
      <c r="G74" s="33">
        <v>1179375</v>
      </c>
      <c r="H74" s="33">
        <v>1182520</v>
      </c>
      <c r="I74" s="33">
        <v>31.45</v>
      </c>
      <c r="P74" s="86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4">
        <v>46217</v>
      </c>
      <c r="G75" s="33">
        <v>532500</v>
      </c>
      <c r="H75" s="33">
        <v>533920</v>
      </c>
      <c r="I75" s="33">
        <v>14.2</v>
      </c>
      <c r="P75" s="86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4">
        <v>46217</v>
      </c>
      <c r="G76" s="33">
        <v>118312.49999999999</v>
      </c>
      <c r="H76" s="33">
        <v>118627.99999999999</v>
      </c>
      <c r="I76" s="33">
        <v>3.1549999999999998</v>
      </c>
      <c r="P76" s="86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4">
        <v>46217</v>
      </c>
      <c r="G77" s="33">
        <v>370875</v>
      </c>
      <c r="H77" s="33">
        <v>371864</v>
      </c>
      <c r="I77" s="33">
        <v>9.89</v>
      </c>
      <c r="P77" s="86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4">
        <v>46217</v>
      </c>
      <c r="G78" s="33">
        <v>296062.5</v>
      </c>
      <c r="H78" s="33">
        <v>296852</v>
      </c>
      <c r="I78" s="33">
        <v>7.8949999999999996</v>
      </c>
      <c r="P78" s="86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4">
        <v>46217</v>
      </c>
      <c r="G79" s="33">
        <v>369562.5</v>
      </c>
      <c r="H79" s="33">
        <v>370548</v>
      </c>
      <c r="I79" s="33">
        <v>9.8550000000000004</v>
      </c>
      <c r="P79" s="86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4">
        <v>46217</v>
      </c>
      <c r="G80" s="33">
        <v>369000</v>
      </c>
      <c r="H80" s="33">
        <v>369984</v>
      </c>
      <c r="I80" s="33">
        <v>9.84</v>
      </c>
      <c r="P80" s="86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4">
        <v>46217</v>
      </c>
      <c r="G81" s="33">
        <v>72562.5</v>
      </c>
      <c r="H81" s="33">
        <v>72756</v>
      </c>
      <c r="I81" s="33">
        <v>1.9350000000000001</v>
      </c>
      <c r="P81" s="86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4">
        <v>46218</v>
      </c>
      <c r="G82" s="33">
        <v>119250</v>
      </c>
      <c r="H82" s="33">
        <v>119568</v>
      </c>
      <c r="I82" s="33">
        <v>3.18</v>
      </c>
      <c r="P82" s="86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4">
        <v>46218</v>
      </c>
      <c r="G83" s="33">
        <v>596250</v>
      </c>
      <c r="H83" s="33">
        <v>597840</v>
      </c>
      <c r="I83" s="33">
        <v>15.9</v>
      </c>
      <c r="P83" s="86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4">
        <v>46218</v>
      </c>
      <c r="G84" s="33">
        <v>733125</v>
      </c>
      <c r="H84" s="33">
        <v>735080</v>
      </c>
      <c r="I84" s="33">
        <v>19.55</v>
      </c>
      <c r="P84" s="86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4">
        <v>46218</v>
      </c>
      <c r="G85" s="33">
        <v>528375</v>
      </c>
      <c r="H85" s="33">
        <v>529784</v>
      </c>
      <c r="I85" s="33">
        <v>14.09</v>
      </c>
      <c r="P85" s="86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4">
        <v>46217</v>
      </c>
      <c r="G86" s="33">
        <v>59625</v>
      </c>
      <c r="H86" s="33">
        <v>59784</v>
      </c>
      <c r="I86" s="33">
        <v>1.59</v>
      </c>
      <c r="P86" s="86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4">
        <v>46217</v>
      </c>
      <c r="G87" s="33">
        <v>1096125</v>
      </c>
      <c r="H87" s="33">
        <v>1099048</v>
      </c>
      <c r="I87" s="33">
        <v>29.23</v>
      </c>
      <c r="P87" s="86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4">
        <v>46217</v>
      </c>
      <c r="G88" s="33">
        <v>146250</v>
      </c>
      <c r="H88" s="33">
        <v>146640</v>
      </c>
      <c r="I88" s="33">
        <v>3.9</v>
      </c>
      <c r="P88" s="86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4">
        <v>46217</v>
      </c>
      <c r="G89" s="33">
        <v>808500</v>
      </c>
      <c r="H89" s="33">
        <v>810656</v>
      </c>
      <c r="I89" s="33">
        <v>21.56</v>
      </c>
      <c r="P89" s="86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4">
        <v>46217</v>
      </c>
      <c r="G90" s="33">
        <v>119625</v>
      </c>
      <c r="H90" s="33">
        <v>119944</v>
      </c>
      <c r="I90" s="33">
        <v>3.19</v>
      </c>
      <c r="P90" s="86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4">
        <v>46217</v>
      </c>
      <c r="G91" s="33">
        <v>1100625</v>
      </c>
      <c r="H91" s="33">
        <v>1103560</v>
      </c>
      <c r="I91" s="33">
        <v>29.35</v>
      </c>
      <c r="P91" s="86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4">
        <v>46217</v>
      </c>
      <c r="G92" s="33">
        <v>806250</v>
      </c>
      <c r="H92" s="33">
        <v>808400</v>
      </c>
      <c r="I92" s="33">
        <v>21.5</v>
      </c>
      <c r="P92" s="86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4">
        <v>46218</v>
      </c>
      <c r="G93" s="33">
        <v>119625</v>
      </c>
      <c r="H93" s="33">
        <v>119944</v>
      </c>
      <c r="I93" s="33">
        <v>3.19</v>
      </c>
      <c r="P93" s="86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4">
        <v>46218</v>
      </c>
      <c r="G94" s="33">
        <v>1025250</v>
      </c>
      <c r="H94" s="33">
        <v>1027984</v>
      </c>
      <c r="I94" s="33">
        <v>27.34</v>
      </c>
      <c r="P94" s="86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4">
        <v>46218</v>
      </c>
      <c r="G95" s="33">
        <v>2051625</v>
      </c>
      <c r="H95" s="33">
        <v>2057096</v>
      </c>
      <c r="I95" s="33">
        <v>54.71</v>
      </c>
      <c r="P95" s="86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4">
        <v>46217</v>
      </c>
      <c r="G96" s="33">
        <v>62250</v>
      </c>
      <c r="H96" s="33">
        <v>62416</v>
      </c>
      <c r="I96" s="33">
        <v>1.66</v>
      </c>
      <c r="P96" s="86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4">
        <v>46217</v>
      </c>
      <c r="G97" s="33">
        <v>458625</v>
      </c>
      <c r="H97" s="33">
        <v>459848</v>
      </c>
      <c r="I97" s="33">
        <v>12.23</v>
      </c>
      <c r="P97" s="86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4">
        <v>46217</v>
      </c>
      <c r="G98" s="33">
        <v>436875</v>
      </c>
      <c r="H98" s="33">
        <v>438040</v>
      </c>
      <c r="I98" s="33">
        <v>11.65</v>
      </c>
      <c r="P98" s="86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4">
        <v>46217</v>
      </c>
      <c r="G99" s="33">
        <v>1603125</v>
      </c>
      <c r="H99" s="33">
        <v>1607400</v>
      </c>
      <c r="I99" s="33">
        <v>42.75</v>
      </c>
      <c r="P99" s="86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4">
        <v>46217</v>
      </c>
      <c r="G100" s="33">
        <v>1100625</v>
      </c>
      <c r="H100" s="33">
        <v>1103560</v>
      </c>
      <c r="I100" s="33">
        <v>29.35</v>
      </c>
      <c r="P100" s="86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4">
        <v>46224</v>
      </c>
      <c r="G101" s="33">
        <v>1448792.0000000002</v>
      </c>
      <c r="H101" s="33">
        <v>1519738.0000000002</v>
      </c>
      <c r="I101" s="33">
        <v>37.340000000000003</v>
      </c>
      <c r="P101" s="86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4">
        <v>46224</v>
      </c>
      <c r="G102" s="33">
        <v>2750532</v>
      </c>
      <c r="H102" s="33">
        <v>2885223</v>
      </c>
      <c r="I102" s="33">
        <v>70.89</v>
      </c>
      <c r="P102" s="86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4">
        <v>46224</v>
      </c>
      <c r="G103" s="33">
        <v>783372</v>
      </c>
      <c r="H103" s="33">
        <v>821733</v>
      </c>
      <c r="I103" s="33">
        <v>20.190000000000001</v>
      </c>
      <c r="P103" s="86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4">
        <v>46224</v>
      </c>
      <c r="G104" s="33">
        <v>151708</v>
      </c>
      <c r="H104" s="33">
        <v>159137</v>
      </c>
      <c r="I104" s="33">
        <v>3.91</v>
      </c>
      <c r="P104" s="86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4">
        <v>46224</v>
      </c>
      <c r="G105" s="33">
        <v>226980</v>
      </c>
      <c r="H105" s="33">
        <v>238095</v>
      </c>
      <c r="I105" s="33">
        <v>5.85</v>
      </c>
      <c r="P105" s="86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4">
        <v>46232</v>
      </c>
      <c r="G106" s="33">
        <v>764360</v>
      </c>
      <c r="H106" s="33">
        <v>775030</v>
      </c>
      <c r="I106" s="33">
        <v>19.399999999999999</v>
      </c>
      <c r="P106" s="86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4">
        <v>46232</v>
      </c>
      <c r="G107" s="33">
        <v>541750</v>
      </c>
      <c r="H107" s="33">
        <v>549312.5</v>
      </c>
      <c r="I107" s="33">
        <v>13.75</v>
      </c>
      <c r="P107" s="86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4">
        <v>46232</v>
      </c>
      <c r="G108" s="33">
        <v>1487350</v>
      </c>
      <c r="H108" s="33">
        <v>1508112.5</v>
      </c>
      <c r="I108" s="33">
        <v>37.75</v>
      </c>
      <c r="P108" s="86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4">
        <v>46232</v>
      </c>
      <c r="G109" s="33">
        <v>890637</v>
      </c>
      <c r="H109" s="33">
        <v>903069.75</v>
      </c>
      <c r="I109" s="33">
        <v>22.605</v>
      </c>
      <c r="P109" s="86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4">
        <v>46232</v>
      </c>
      <c r="G110" s="33">
        <v>1095714</v>
      </c>
      <c r="H110" s="33">
        <v>1111009.5</v>
      </c>
      <c r="I110" s="33">
        <v>27.81</v>
      </c>
      <c r="P110" s="86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4">
        <v>46232</v>
      </c>
      <c r="G111" s="33">
        <v>695410</v>
      </c>
      <c r="H111" s="33">
        <v>705117.5</v>
      </c>
      <c r="I111" s="33">
        <v>17.649999999999999</v>
      </c>
      <c r="P111" s="86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4">
        <v>46232</v>
      </c>
      <c r="G112" s="33">
        <v>1566544</v>
      </c>
      <c r="H112" s="33">
        <v>1588412</v>
      </c>
      <c r="I112" s="33">
        <v>39.76</v>
      </c>
      <c r="P112" s="86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4">
        <v>46224</v>
      </c>
      <c r="G113" s="33">
        <v>588924</v>
      </c>
      <c r="H113" s="33">
        <v>611515</v>
      </c>
      <c r="I113" s="33">
        <v>15.58</v>
      </c>
      <c r="P113" s="86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4">
        <v>46224</v>
      </c>
      <c r="G114" s="33">
        <v>148554</v>
      </c>
      <c r="H114" s="33">
        <v>154252.5</v>
      </c>
      <c r="I114" s="33">
        <v>3.93</v>
      </c>
      <c r="P114" s="86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4">
        <v>46224</v>
      </c>
      <c r="G115" s="33">
        <v>592704</v>
      </c>
      <c r="H115" s="33">
        <v>615440</v>
      </c>
      <c r="I115" s="33">
        <v>15.68</v>
      </c>
      <c r="P115" s="86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4">
        <v>46224</v>
      </c>
      <c r="G116" s="33">
        <v>147798</v>
      </c>
      <c r="H116" s="33">
        <v>153467.5</v>
      </c>
      <c r="I116" s="33">
        <v>3.91</v>
      </c>
      <c r="P116" s="86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4">
        <v>46231</v>
      </c>
      <c r="G117" s="33">
        <v>2971500</v>
      </c>
      <c r="H117" s="33">
        <v>2987348</v>
      </c>
      <c r="I117" s="33">
        <v>79.239999999999995</v>
      </c>
      <c r="P117" s="86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4">
        <v>46232</v>
      </c>
      <c r="G118" s="33">
        <v>1144212</v>
      </c>
      <c r="H118" s="33">
        <v>1194345</v>
      </c>
      <c r="I118" s="33">
        <v>29.490000000000002</v>
      </c>
      <c r="P118" s="86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4">
        <v>46232</v>
      </c>
      <c r="G119" s="33">
        <v>1520572</v>
      </c>
      <c r="H119" s="33">
        <v>1587195</v>
      </c>
      <c r="I119" s="33">
        <v>39.19</v>
      </c>
      <c r="P119" s="86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4">
        <v>46232</v>
      </c>
      <c r="G120" s="33">
        <v>1139944</v>
      </c>
      <c r="H120" s="33">
        <v>1189890</v>
      </c>
      <c r="I120" s="33">
        <v>29.38</v>
      </c>
      <c r="P120" s="86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4">
        <v>46234</v>
      </c>
      <c r="G121" s="33">
        <v>1850600</v>
      </c>
      <c r="H121" s="33">
        <v>1867645</v>
      </c>
      <c r="I121" s="33">
        <v>48.7</v>
      </c>
      <c r="P121" s="86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4">
        <v>46234</v>
      </c>
      <c r="G122" s="33">
        <v>1862000</v>
      </c>
      <c r="H122" s="33">
        <v>1879150</v>
      </c>
      <c r="I122" s="33">
        <v>49</v>
      </c>
      <c r="P122" s="86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4">
        <v>46240</v>
      </c>
      <c r="G123" s="33">
        <v>1952775</v>
      </c>
      <c r="H123" s="33">
        <v>1977525</v>
      </c>
      <c r="I123" s="33">
        <v>49.5</v>
      </c>
      <c r="P123" s="86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4">
        <v>46240</v>
      </c>
      <c r="G124" s="33">
        <v>1948041</v>
      </c>
      <c r="H124" s="33">
        <v>1972731</v>
      </c>
      <c r="I124" s="33">
        <v>49.38</v>
      </c>
      <c r="P124" s="86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4">
        <v>46240</v>
      </c>
      <c r="G125" s="33">
        <v>1958298</v>
      </c>
      <c r="H125" s="33">
        <v>1983118</v>
      </c>
      <c r="I125" s="33">
        <v>49.64</v>
      </c>
      <c r="P125" s="86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4">
        <v>46240</v>
      </c>
      <c r="G126" s="33">
        <v>2221429.5</v>
      </c>
      <c r="H126" s="33">
        <v>2249584.5</v>
      </c>
      <c r="I126" s="33">
        <v>56.31</v>
      </c>
      <c r="P126" s="86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4">
        <v>46240</v>
      </c>
      <c r="G127" s="33">
        <v>8194554</v>
      </c>
      <c r="H127" s="33">
        <v>8298414</v>
      </c>
      <c r="I127" s="33">
        <v>207.72</v>
      </c>
      <c r="P127" s="86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4">
        <v>46240</v>
      </c>
      <c r="G128" s="33">
        <v>3625060.5</v>
      </c>
      <c r="H128" s="33">
        <v>3671005.5</v>
      </c>
      <c r="I128" s="33">
        <v>91.89</v>
      </c>
      <c r="P128" s="86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4">
        <v>46240</v>
      </c>
      <c r="G129" s="33">
        <v>854092.5</v>
      </c>
      <c r="H129" s="33">
        <v>864917.5</v>
      </c>
      <c r="I129" s="33">
        <v>21.65</v>
      </c>
      <c r="P129" s="86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4">
        <v>46240</v>
      </c>
      <c r="G130" s="33">
        <v>222885</v>
      </c>
      <c r="H130" s="33">
        <v>224347.5</v>
      </c>
      <c r="I130" s="33">
        <v>5.85</v>
      </c>
      <c r="P130" s="86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4">
        <v>46240</v>
      </c>
      <c r="G131" s="33">
        <v>730758</v>
      </c>
      <c r="H131" s="33">
        <v>735553</v>
      </c>
      <c r="I131" s="33">
        <v>19.18</v>
      </c>
      <c r="P131" s="86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4">
        <v>46240</v>
      </c>
      <c r="G132" s="33">
        <v>1146429</v>
      </c>
      <c r="H132" s="33">
        <v>1153951.5</v>
      </c>
      <c r="I132" s="33">
        <v>30.09</v>
      </c>
      <c r="P132" s="86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4">
        <v>46240</v>
      </c>
      <c r="G133" s="33">
        <v>153924</v>
      </c>
      <c r="H133" s="33">
        <v>154934</v>
      </c>
      <c r="I133" s="33">
        <v>4.04</v>
      </c>
      <c r="P133" s="86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4">
        <v>46243</v>
      </c>
      <c r="G134" s="33">
        <v>1095750</v>
      </c>
      <c r="H134" s="33">
        <v>1101594</v>
      </c>
      <c r="I134" s="33">
        <v>29.22</v>
      </c>
      <c r="P134" s="86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4">
        <v>46243</v>
      </c>
      <c r="G135" s="33">
        <v>724874.99999999988</v>
      </c>
      <c r="H135" s="33">
        <v>728740.99999999988</v>
      </c>
      <c r="I135" s="33">
        <v>19.329999999999998</v>
      </c>
      <c r="P135" s="86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4">
        <v>46243</v>
      </c>
      <c r="G136" s="33">
        <v>746625</v>
      </c>
      <c r="H136" s="33">
        <v>750607</v>
      </c>
      <c r="I136" s="33">
        <v>19.91</v>
      </c>
      <c r="P136" s="86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4">
        <v>46243</v>
      </c>
      <c r="G137" s="33">
        <v>78750</v>
      </c>
      <c r="H137" s="33">
        <v>79170</v>
      </c>
      <c r="I137" s="33">
        <v>2.1</v>
      </c>
      <c r="P137" s="86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4">
        <v>46243</v>
      </c>
      <c r="G138" s="33">
        <v>147645</v>
      </c>
      <c r="H138" s="33">
        <v>149189</v>
      </c>
      <c r="I138" s="33">
        <v>3.86</v>
      </c>
      <c r="P138" s="86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4">
        <v>46243</v>
      </c>
      <c r="G139" s="33">
        <v>148410</v>
      </c>
      <c r="H139" s="33">
        <v>149962</v>
      </c>
      <c r="I139" s="33">
        <v>3.88</v>
      </c>
      <c r="P139" s="86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4">
        <v>46243</v>
      </c>
      <c r="G140" s="33">
        <v>2174895</v>
      </c>
      <c r="H140" s="33">
        <v>2197639</v>
      </c>
      <c r="I140" s="33">
        <v>56.86</v>
      </c>
      <c r="P140" s="86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4">
        <v>46245</v>
      </c>
      <c r="G141" s="33">
        <v>76927.5</v>
      </c>
      <c r="H141" s="33">
        <v>78195</v>
      </c>
      <c r="I141" s="33">
        <v>1.95</v>
      </c>
      <c r="P141" s="86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4">
        <v>46245</v>
      </c>
      <c r="G142" s="33">
        <v>847780.49999999988</v>
      </c>
      <c r="H142" s="33">
        <v>861748.99999999988</v>
      </c>
      <c r="I142" s="33">
        <v>21.49</v>
      </c>
      <c r="P142" s="86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4">
        <v>46245</v>
      </c>
      <c r="G143" s="33">
        <v>1082902.5</v>
      </c>
      <c r="H143" s="33">
        <v>1100745</v>
      </c>
      <c r="I143" s="33">
        <v>27.45</v>
      </c>
      <c r="P143" s="86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4">
        <v>46245</v>
      </c>
      <c r="G144" s="33">
        <v>2158704</v>
      </c>
      <c r="H144" s="33">
        <v>2194272</v>
      </c>
      <c r="I144" s="33">
        <v>54.72</v>
      </c>
      <c r="P144" s="86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4">
        <v>46245</v>
      </c>
      <c r="G145" s="33">
        <v>464326.5</v>
      </c>
      <c r="H145" s="33">
        <v>471977</v>
      </c>
      <c r="I145" s="33">
        <v>11.77</v>
      </c>
      <c r="P145" s="86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4">
        <v>46245</v>
      </c>
      <c r="G146" s="33">
        <v>459987</v>
      </c>
      <c r="H146" s="33">
        <v>467566</v>
      </c>
      <c r="I146" s="33">
        <v>11.66</v>
      </c>
      <c r="P146" s="86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4">
        <v>46250</v>
      </c>
      <c r="G147" s="33">
        <v>4560814.5000000009</v>
      </c>
      <c r="H147" s="33">
        <v>4618619.5000000009</v>
      </c>
      <c r="I147" s="33">
        <v>115.61000000000001</v>
      </c>
      <c r="P147" s="86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4">
        <v>46250</v>
      </c>
      <c r="G148" s="33">
        <v>463932</v>
      </c>
      <c r="H148" s="33">
        <v>469812</v>
      </c>
      <c r="I148" s="33">
        <v>11.76</v>
      </c>
      <c r="P148" s="86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4">
        <v>46250</v>
      </c>
      <c r="G149" s="33">
        <v>926286</v>
      </c>
      <c r="H149" s="33">
        <v>938026</v>
      </c>
      <c r="I149" s="33">
        <v>23.48</v>
      </c>
      <c r="P149" s="86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4">
        <v>46250</v>
      </c>
      <c r="G150" s="33">
        <v>154249.5</v>
      </c>
      <c r="H150" s="33">
        <v>156204.5</v>
      </c>
      <c r="I150" s="33">
        <v>3.91</v>
      </c>
      <c r="P150" s="86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4">
        <v>46250</v>
      </c>
      <c r="G151" s="33">
        <v>817404</v>
      </c>
      <c r="H151" s="33">
        <v>827764</v>
      </c>
      <c r="I151" s="33">
        <v>20.72</v>
      </c>
      <c r="P151" s="86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4">
        <v>46250</v>
      </c>
      <c r="G152" s="33">
        <v>1844682</v>
      </c>
      <c r="H152" s="33">
        <v>1868062</v>
      </c>
      <c r="I152" s="33">
        <v>46.76</v>
      </c>
      <c r="P152" s="86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4">
        <v>46250</v>
      </c>
      <c r="G153" s="33">
        <v>1857440</v>
      </c>
      <c r="H153" s="33">
        <v>1859884</v>
      </c>
      <c r="I153" s="33">
        <v>48.88</v>
      </c>
      <c r="P153" s="86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4">
        <v>46250</v>
      </c>
      <c r="G154" s="33">
        <v>413565</v>
      </c>
      <c r="H154" s="33">
        <v>424035</v>
      </c>
      <c r="I154" s="33">
        <v>10.47</v>
      </c>
      <c r="P154" s="86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4">
        <v>46250</v>
      </c>
      <c r="G155" s="33">
        <v>154445</v>
      </c>
      <c r="H155" s="33">
        <v>158355</v>
      </c>
      <c r="I155" s="33">
        <v>3.91</v>
      </c>
      <c r="P155" s="86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4">
        <v>46250</v>
      </c>
      <c r="G156" s="33">
        <v>1399485</v>
      </c>
      <c r="H156" s="33">
        <v>1434915</v>
      </c>
      <c r="I156" s="33">
        <v>35.43</v>
      </c>
      <c r="P156" s="86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4">
        <v>46251</v>
      </c>
      <c r="G157" s="33">
        <v>245311</v>
      </c>
      <c r="H157" s="33">
        <v>247544</v>
      </c>
      <c r="I157" s="33">
        <v>6.38</v>
      </c>
      <c r="P157" s="86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4">
        <v>46251</v>
      </c>
      <c r="G158" s="33">
        <v>1206176.5</v>
      </c>
      <c r="H158" s="33">
        <v>1217156</v>
      </c>
      <c r="I158" s="33">
        <v>31.37</v>
      </c>
      <c r="P158" s="86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4">
        <v>46251</v>
      </c>
      <c r="G159" s="33">
        <v>605587.5</v>
      </c>
      <c r="H159" s="33">
        <v>611100</v>
      </c>
      <c r="I159" s="33">
        <v>15.75</v>
      </c>
      <c r="P159" s="86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4">
        <v>46251</v>
      </c>
      <c r="G160" s="33">
        <v>376829.99999999994</v>
      </c>
      <c r="H160" s="33">
        <v>387323.99999999994</v>
      </c>
      <c r="I160" s="33">
        <v>9.5399999999999991</v>
      </c>
      <c r="P160" s="86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4">
        <v>46251</v>
      </c>
      <c r="G161" s="33">
        <v>776175</v>
      </c>
      <c r="H161" s="33">
        <v>797790</v>
      </c>
      <c r="I161" s="33">
        <v>19.649999999999999</v>
      </c>
      <c r="P161" s="86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4">
        <v>46251</v>
      </c>
      <c r="G162" s="33">
        <v>2752755</v>
      </c>
      <c r="H162" s="33">
        <v>2829414</v>
      </c>
      <c r="I162" s="33">
        <v>69.69</v>
      </c>
      <c r="P162" s="86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4">
        <v>46252</v>
      </c>
      <c r="G163" s="33">
        <v>2768680</v>
      </c>
      <c r="H163" s="33">
        <v>2772323</v>
      </c>
      <c r="I163" s="33">
        <v>72.86</v>
      </c>
      <c r="P163" s="86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4">
        <v>46256</v>
      </c>
      <c r="G164" s="33">
        <v>469050</v>
      </c>
      <c r="H164" s="33">
        <v>472590</v>
      </c>
      <c r="I164" s="33">
        <v>11.8</v>
      </c>
      <c r="P164" s="86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4">
        <v>46256</v>
      </c>
      <c r="G165" s="33">
        <v>2672790</v>
      </c>
      <c r="H165" s="33">
        <v>2692962</v>
      </c>
      <c r="I165" s="33">
        <v>67.239999999999995</v>
      </c>
      <c r="P165" s="86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4">
        <v>46256</v>
      </c>
      <c r="G166" s="33">
        <v>2119350.75</v>
      </c>
      <c r="H166" s="33">
        <v>2135345.85</v>
      </c>
      <c r="I166" s="33">
        <v>53.317</v>
      </c>
      <c r="P166" s="86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4">
        <v>46256</v>
      </c>
      <c r="G167" s="33">
        <v>1985115</v>
      </c>
      <c r="H167" s="33">
        <v>2000097</v>
      </c>
      <c r="I167" s="33">
        <v>49.94</v>
      </c>
      <c r="P167" s="86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4">
        <v>46256</v>
      </c>
      <c r="G168" s="33">
        <v>4141274.2499999995</v>
      </c>
      <c r="H168" s="33">
        <v>4172529.15</v>
      </c>
      <c r="I168" s="33">
        <v>104.18299999999999</v>
      </c>
      <c r="P168" s="86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4">
        <v>46256</v>
      </c>
      <c r="G169" s="33">
        <v>6224850</v>
      </c>
      <c r="H169" s="33">
        <v>6271830</v>
      </c>
      <c r="I169" s="33">
        <v>156.6</v>
      </c>
      <c r="P169" s="86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4">
        <v>46268</v>
      </c>
      <c r="G170" s="33">
        <v>449600</v>
      </c>
      <c r="H170" s="33">
        <v>460840</v>
      </c>
      <c r="I170" s="33">
        <v>11.24</v>
      </c>
      <c r="P170" s="86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4">
        <v>46268</v>
      </c>
      <c r="G171" s="33">
        <v>3983716</v>
      </c>
      <c r="H171" s="33">
        <v>4013080</v>
      </c>
      <c r="I171" s="33">
        <v>97.88</v>
      </c>
      <c r="P171" s="86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4">
        <v>46268</v>
      </c>
      <c r="G172" s="33">
        <v>2701600.0000000005</v>
      </c>
      <c r="H172" s="33">
        <v>2769140.0000000005</v>
      </c>
      <c r="I172" s="33">
        <v>67.540000000000006</v>
      </c>
      <c r="P172" s="86"/>
    </row>
    <row r="173" spans="1:16" x14ac:dyDescent="0.3">
      <c r="B173" s="32">
        <v>1394000</v>
      </c>
      <c r="D173" s="31" t="s">
        <v>138</v>
      </c>
      <c r="F173" s="84">
        <v>46268</v>
      </c>
      <c r="G173" s="33">
        <v>1394000</v>
      </c>
      <c r="H173" s="33">
        <v>0</v>
      </c>
      <c r="P173" s="86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4">
        <v>46274</v>
      </c>
      <c r="G174" s="33">
        <v>296807</v>
      </c>
      <c r="H174" s="33">
        <v>296807</v>
      </c>
      <c r="I174" s="33">
        <v>7.78</v>
      </c>
      <c r="P174" s="86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4">
        <v>46274</v>
      </c>
      <c r="G175" s="33">
        <v>904536.5</v>
      </c>
      <c r="H175" s="33">
        <v>904536.5</v>
      </c>
      <c r="I175" s="33">
        <v>23.71</v>
      </c>
      <c r="P175" s="86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4">
        <v>46274</v>
      </c>
      <c r="G176" s="33">
        <v>743543.49999999988</v>
      </c>
      <c r="H176" s="33">
        <v>743543.49999999988</v>
      </c>
      <c r="I176" s="33">
        <v>19.489999999999998</v>
      </c>
      <c r="P176" s="86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4">
        <v>46274</v>
      </c>
      <c r="G177" s="33">
        <v>448644</v>
      </c>
      <c r="H177" s="33">
        <v>448644</v>
      </c>
      <c r="I177" s="33">
        <v>11.76</v>
      </c>
      <c r="P177" s="86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4">
        <v>46281</v>
      </c>
      <c r="G178" s="33">
        <v>5037629.9999999991</v>
      </c>
      <c r="H178" s="33">
        <v>5115131.9999999991</v>
      </c>
      <c r="I178" s="33">
        <v>129.16999999999999</v>
      </c>
      <c r="P178" s="86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4">
        <v>46281</v>
      </c>
      <c r="G179" s="33">
        <v>306540</v>
      </c>
      <c r="H179" s="33">
        <v>311256</v>
      </c>
      <c r="I179" s="33">
        <v>7.86</v>
      </c>
      <c r="P179" s="86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4">
        <v>46281</v>
      </c>
      <c r="G180" s="33">
        <v>3288870</v>
      </c>
      <c r="H180" s="33">
        <v>3339468</v>
      </c>
      <c r="I180" s="33">
        <v>84.33</v>
      </c>
      <c r="P180" s="86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4">
        <v>46281</v>
      </c>
      <c r="G181" s="33">
        <v>229710</v>
      </c>
      <c r="H181" s="33">
        <v>233244</v>
      </c>
      <c r="I181" s="33">
        <v>5.89</v>
      </c>
      <c r="P181" s="86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4">
        <v>46281</v>
      </c>
      <c r="G182" s="33">
        <v>539370</v>
      </c>
      <c r="H182" s="33">
        <v>547668</v>
      </c>
      <c r="I182" s="33">
        <v>13.83</v>
      </c>
      <c r="P182" s="86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4">
        <v>46281</v>
      </c>
      <c r="G183" s="33">
        <v>381420</v>
      </c>
      <c r="H183" s="33">
        <v>387288</v>
      </c>
      <c r="I183" s="33">
        <v>9.7799999999999994</v>
      </c>
      <c r="P183" s="86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139</v>
      </c>
      <c r="F184" s="84">
        <v>46284</v>
      </c>
      <c r="G184" s="33">
        <v>2483910</v>
      </c>
      <c r="H184" s="33">
        <v>2496780</v>
      </c>
      <c r="I184" s="33">
        <v>64.349999999999994</v>
      </c>
      <c r="P184" s="86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4">
        <v>46284</v>
      </c>
      <c r="G185" s="33">
        <v>489834</v>
      </c>
      <c r="H185" s="33">
        <v>492372</v>
      </c>
      <c r="I185" s="33">
        <v>12.69</v>
      </c>
      <c r="P185" s="86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4">
        <v>46284</v>
      </c>
      <c r="G186" s="33">
        <v>601002</v>
      </c>
      <c r="H186" s="33">
        <v>604116</v>
      </c>
      <c r="I186" s="33">
        <v>15.57</v>
      </c>
      <c r="P186" s="86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4">
        <v>46284</v>
      </c>
      <c r="G187" s="33">
        <v>979282</v>
      </c>
      <c r="H187" s="33">
        <v>984356</v>
      </c>
      <c r="I187" s="33">
        <v>25.37</v>
      </c>
      <c r="P187" s="86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4">
        <v>46284</v>
      </c>
      <c r="G188" s="33">
        <v>244602</v>
      </c>
      <c r="H188" s="33">
        <v>244923</v>
      </c>
      <c r="I188" s="33">
        <v>6.42</v>
      </c>
      <c r="P188" s="86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4">
        <v>46284</v>
      </c>
      <c r="G189" s="33">
        <v>231267</v>
      </c>
      <c r="H189" s="33">
        <v>231570.5</v>
      </c>
      <c r="I189" s="33">
        <v>6.07</v>
      </c>
      <c r="P189" s="86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4">
        <v>46284</v>
      </c>
      <c r="G190" s="33">
        <v>373380</v>
      </c>
      <c r="H190" s="33">
        <v>373870</v>
      </c>
      <c r="I190" s="33">
        <v>9.8000000000000007</v>
      </c>
      <c r="P190" s="86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4">
        <v>46284</v>
      </c>
      <c r="G191" s="33">
        <v>823722</v>
      </c>
      <c r="H191" s="33">
        <v>824803</v>
      </c>
      <c r="I191" s="33">
        <v>21.62</v>
      </c>
      <c r="P191" s="86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4">
        <v>46284</v>
      </c>
      <c r="G192" s="33">
        <v>150495</v>
      </c>
      <c r="H192" s="33">
        <v>150692.5</v>
      </c>
      <c r="I192" s="33">
        <v>3.95</v>
      </c>
      <c r="P192" s="86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140</v>
      </c>
      <c r="F193" s="84">
        <v>46286</v>
      </c>
      <c r="G193" s="33">
        <v>125610</v>
      </c>
      <c r="H193" s="33">
        <v>131970</v>
      </c>
      <c r="I193" s="33">
        <v>3.18</v>
      </c>
      <c r="P193" s="86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4">
        <v>46286</v>
      </c>
      <c r="G194" s="33">
        <v>926670</v>
      </c>
      <c r="H194" s="33">
        <v>973590</v>
      </c>
      <c r="I194" s="33">
        <v>23.46</v>
      </c>
      <c r="P194" s="86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4">
        <v>46286</v>
      </c>
      <c r="G195" s="33">
        <v>154445</v>
      </c>
      <c r="H195" s="33">
        <v>162265</v>
      </c>
      <c r="I195" s="33">
        <v>3.91</v>
      </c>
      <c r="P195" s="86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4">
        <v>46286</v>
      </c>
      <c r="G196" s="33">
        <v>623705</v>
      </c>
      <c r="H196" s="33">
        <v>655285</v>
      </c>
      <c r="I196" s="33">
        <v>15.79</v>
      </c>
      <c r="P196" s="86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4">
        <v>46288</v>
      </c>
      <c r="G197" s="33">
        <v>1203579</v>
      </c>
      <c r="H197" s="33">
        <v>1205158.5</v>
      </c>
      <c r="I197" s="33">
        <v>31.59</v>
      </c>
      <c r="P197" s="86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4">
        <v>46288</v>
      </c>
      <c r="G198" s="33">
        <v>968883</v>
      </c>
      <c r="H198" s="33">
        <v>970154.5</v>
      </c>
      <c r="I198" s="33">
        <v>25.43</v>
      </c>
      <c r="P198" s="86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4">
        <v>46288</v>
      </c>
      <c r="G199" s="33">
        <v>1514094</v>
      </c>
      <c r="H199" s="33">
        <v>1516081</v>
      </c>
      <c r="I199" s="33">
        <v>39.74</v>
      </c>
      <c r="P199" s="86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4">
        <v>46288</v>
      </c>
      <c r="G200" s="33">
        <v>75438</v>
      </c>
      <c r="H200" s="33">
        <v>75537</v>
      </c>
      <c r="I200" s="33">
        <v>1.98</v>
      </c>
      <c r="P200" s="86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4">
        <v>46288</v>
      </c>
      <c r="G201" s="33">
        <v>148590</v>
      </c>
      <c r="H201" s="33">
        <v>148785</v>
      </c>
      <c r="I201" s="33">
        <v>3.9</v>
      </c>
      <c r="P201" s="86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141</v>
      </c>
      <c r="F202" s="84">
        <v>46292</v>
      </c>
      <c r="G202" s="33">
        <v>567615</v>
      </c>
      <c r="H202" s="33">
        <v>593481</v>
      </c>
      <c r="I202" s="33">
        <v>14.37</v>
      </c>
      <c r="P202" s="86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4">
        <v>46292</v>
      </c>
      <c r="G203" s="33">
        <v>386704.99999999994</v>
      </c>
      <c r="H203" s="33">
        <v>404326.99999999994</v>
      </c>
      <c r="I203" s="33">
        <v>9.7899999999999991</v>
      </c>
      <c r="P203" s="86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4">
        <v>46292</v>
      </c>
      <c r="G204" s="33">
        <v>1008435</v>
      </c>
      <c r="H204" s="33">
        <v>1054389</v>
      </c>
      <c r="I204" s="33">
        <v>25.53</v>
      </c>
      <c r="P204" s="86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4">
        <v>46292</v>
      </c>
      <c r="G205" s="33">
        <v>68730</v>
      </c>
      <c r="H205" s="33">
        <v>71862</v>
      </c>
      <c r="I205" s="33">
        <v>1.74</v>
      </c>
      <c r="P205" s="86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4">
        <v>46292</v>
      </c>
      <c r="G206" s="33">
        <v>234037.5</v>
      </c>
      <c r="H206" s="33">
        <v>244702.5</v>
      </c>
      <c r="I206" s="33">
        <v>5.9249999999999998</v>
      </c>
      <c r="P206" s="86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4">
        <v>46292</v>
      </c>
      <c r="G207" s="33">
        <v>232457.5</v>
      </c>
      <c r="H207" s="33">
        <v>243050.5</v>
      </c>
      <c r="I207" s="33">
        <v>5.8849999999999998</v>
      </c>
      <c r="P207" s="86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4">
        <v>46292</v>
      </c>
      <c r="G208" s="33">
        <v>855175</v>
      </c>
      <c r="H208" s="33">
        <v>894144.99999999988</v>
      </c>
      <c r="I208" s="33">
        <v>21.65</v>
      </c>
      <c r="P208" s="86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4">
        <v>46292</v>
      </c>
      <c r="G209" s="33">
        <v>1023445</v>
      </c>
      <c r="H209" s="33">
        <v>1070083</v>
      </c>
      <c r="I209" s="33">
        <v>25.91</v>
      </c>
      <c r="P209" s="86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142</v>
      </c>
      <c r="F210" s="84">
        <v>46297</v>
      </c>
      <c r="G210" s="33">
        <v>639920</v>
      </c>
      <c r="H210" s="33">
        <v>673600</v>
      </c>
      <c r="I210" s="33">
        <v>16.84</v>
      </c>
      <c r="P210" s="86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4">
        <v>46297</v>
      </c>
      <c r="G211" s="33">
        <v>4018120.0000000005</v>
      </c>
      <c r="H211" s="33">
        <v>4229600</v>
      </c>
      <c r="I211" s="33">
        <v>105.74000000000001</v>
      </c>
      <c r="P211" s="86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4">
        <v>46297</v>
      </c>
      <c r="G212" s="33">
        <v>168720.00000000003</v>
      </c>
      <c r="H212" s="33">
        <v>177600.00000000003</v>
      </c>
      <c r="I212" s="33">
        <v>4.4400000000000004</v>
      </c>
      <c r="P212" s="86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4">
        <v>46297</v>
      </c>
      <c r="G213" s="33">
        <v>288800</v>
      </c>
      <c r="H213" s="33">
        <v>304000</v>
      </c>
      <c r="I213" s="33">
        <v>7.6</v>
      </c>
      <c r="P213" s="86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143</v>
      </c>
      <c r="F214" s="84">
        <v>46303</v>
      </c>
      <c r="G214" s="33">
        <v>79831</v>
      </c>
      <c r="H214" s="33">
        <v>80510</v>
      </c>
      <c r="I214" s="33">
        <v>1.94</v>
      </c>
      <c r="P214" s="86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4">
        <v>46303</v>
      </c>
      <c r="G215" s="33">
        <v>79831</v>
      </c>
      <c r="H215" s="33">
        <v>80510</v>
      </c>
      <c r="I215" s="33">
        <v>1.94</v>
      </c>
      <c r="P215" s="86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4">
        <v>46303</v>
      </c>
      <c r="G216" s="33">
        <v>242785.00000000003</v>
      </c>
      <c r="H216" s="33">
        <v>244850.00000000003</v>
      </c>
      <c r="I216" s="33">
        <v>5.9</v>
      </c>
      <c r="P216" s="86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4">
        <v>46303</v>
      </c>
      <c r="G217" s="33">
        <v>783496</v>
      </c>
      <c r="H217" s="33">
        <v>790160</v>
      </c>
      <c r="I217" s="33">
        <v>19.04</v>
      </c>
      <c r="P217" s="86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4">
        <v>46303</v>
      </c>
      <c r="G218" s="33">
        <v>798309.99999999988</v>
      </c>
      <c r="H218" s="33">
        <v>805099.99999999988</v>
      </c>
      <c r="I218" s="33">
        <v>19.399999999999999</v>
      </c>
      <c r="P218" s="86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4">
        <v>46303</v>
      </c>
      <c r="G219" s="33">
        <v>2043509.0000000002</v>
      </c>
      <c r="H219" s="33">
        <v>2060890.0000000002</v>
      </c>
      <c r="I219" s="33">
        <v>49.660000000000004</v>
      </c>
      <c r="P219" s="86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143</v>
      </c>
      <c r="F220" s="84">
        <v>46303</v>
      </c>
      <c r="G220" s="33">
        <v>1166040</v>
      </c>
      <c r="H220" s="33">
        <v>1170468</v>
      </c>
      <c r="I220" s="33">
        <v>29.52</v>
      </c>
      <c r="P220" s="86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142</v>
      </c>
      <c r="F221" s="84">
        <v>46301</v>
      </c>
      <c r="G221" s="33">
        <v>183540</v>
      </c>
      <c r="H221" s="33">
        <v>188599.99999999997</v>
      </c>
      <c r="I221" s="33">
        <v>4.5999999999999996</v>
      </c>
      <c r="P221" s="86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4">
        <v>46301</v>
      </c>
      <c r="G222" s="33">
        <v>1178646</v>
      </c>
      <c r="H222" s="33">
        <v>1211140</v>
      </c>
      <c r="I222" s="33">
        <v>29.54</v>
      </c>
      <c r="P222" s="86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4">
        <v>46301</v>
      </c>
      <c r="G223" s="33">
        <v>156009</v>
      </c>
      <c r="H223" s="33">
        <v>160310</v>
      </c>
      <c r="I223" s="33">
        <v>3.91</v>
      </c>
      <c r="P223" s="86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4">
        <v>46301</v>
      </c>
      <c r="G224" s="33">
        <v>786429</v>
      </c>
      <c r="H224" s="33">
        <v>808110</v>
      </c>
      <c r="I224" s="33">
        <v>19.71</v>
      </c>
      <c r="P224" s="86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4">
        <v>46301</v>
      </c>
      <c r="G225" s="33">
        <v>2245990</v>
      </c>
      <c r="H225" s="33">
        <v>2423305</v>
      </c>
      <c r="I225" s="33">
        <v>59.104999999999997</v>
      </c>
      <c r="P225" s="86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144</v>
      </c>
      <c r="F226" s="84">
        <v>46304</v>
      </c>
      <c r="G226" s="33">
        <v>1684160</v>
      </c>
      <c r="H226" s="33">
        <v>1788312</v>
      </c>
      <c r="I226" s="33">
        <v>44.32</v>
      </c>
      <c r="P226" s="86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4">
        <v>46304</v>
      </c>
      <c r="G227" s="33">
        <v>1573523.9999999998</v>
      </c>
      <c r="H227" s="33">
        <v>1583333.9999999998</v>
      </c>
      <c r="I227" s="33">
        <v>39.239999999999995</v>
      </c>
      <c r="P227" s="86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4">
        <v>46304</v>
      </c>
      <c r="G228" s="33">
        <v>1578737</v>
      </c>
      <c r="H228" s="33">
        <v>1588579.5</v>
      </c>
      <c r="I228" s="33">
        <v>39.369999999999997</v>
      </c>
      <c r="P228" s="86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4">
        <v>46304</v>
      </c>
      <c r="G229" s="33">
        <v>5912745</v>
      </c>
      <c r="H229" s="33">
        <v>5949607.5</v>
      </c>
      <c r="I229" s="33">
        <v>147.44999999999999</v>
      </c>
      <c r="P229" s="86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4">
        <v>46304</v>
      </c>
      <c r="G230" s="33">
        <v>61754</v>
      </c>
      <c r="H230" s="33">
        <v>62139</v>
      </c>
      <c r="I230" s="33">
        <v>1.54</v>
      </c>
      <c r="P230" s="86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4">
        <v>46304</v>
      </c>
      <c r="G231" s="33">
        <v>708166</v>
      </c>
      <c r="H231" s="33">
        <v>712581</v>
      </c>
      <c r="I231" s="33">
        <v>17.66</v>
      </c>
      <c r="P231" s="86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4">
        <v>46304</v>
      </c>
      <c r="G232" s="33">
        <v>314785</v>
      </c>
      <c r="H232" s="33">
        <v>316747.5</v>
      </c>
      <c r="I232" s="33">
        <v>7.85</v>
      </c>
      <c r="P232" s="86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4">
        <v>46304</v>
      </c>
      <c r="G233" s="33">
        <v>238194.00000000003</v>
      </c>
      <c r="H233" s="33">
        <v>239679.00000000003</v>
      </c>
      <c r="I233" s="33">
        <v>5.94</v>
      </c>
      <c r="P233" s="86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4">
        <v>46304</v>
      </c>
      <c r="G234" s="33">
        <v>78596</v>
      </c>
      <c r="H234" s="33">
        <v>79086</v>
      </c>
      <c r="I234" s="33">
        <v>1.96</v>
      </c>
      <c r="P234" s="86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4">
        <v>46304</v>
      </c>
      <c r="G235" s="33">
        <v>78195</v>
      </c>
      <c r="H235" s="33">
        <v>78682.5</v>
      </c>
      <c r="I235" s="33">
        <v>1.95</v>
      </c>
      <c r="P235" s="86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143</v>
      </c>
      <c r="F236" s="84">
        <v>46306</v>
      </c>
      <c r="G236" s="33">
        <v>361362</v>
      </c>
      <c r="H236" s="33">
        <v>362736</v>
      </c>
      <c r="I236" s="33">
        <v>9.16</v>
      </c>
      <c r="P236" s="86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4">
        <v>46306</v>
      </c>
      <c r="G237" s="33">
        <v>2859336</v>
      </c>
      <c r="H237" s="33">
        <v>2870208</v>
      </c>
      <c r="I237" s="33">
        <v>72.48</v>
      </c>
      <c r="P237" s="86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4">
        <v>46306</v>
      </c>
      <c r="G238" s="33">
        <v>791761.5</v>
      </c>
      <c r="H238" s="33">
        <v>794772</v>
      </c>
      <c r="I238" s="33">
        <v>20.07</v>
      </c>
      <c r="P238" s="86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4">
        <v>46306</v>
      </c>
      <c r="G239" s="33">
        <v>1927132.5</v>
      </c>
      <c r="H239" s="33">
        <v>1934460</v>
      </c>
      <c r="I239" s="33">
        <v>48.85</v>
      </c>
      <c r="P239" s="86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4">
        <v>46306</v>
      </c>
      <c r="G240" s="33">
        <v>3652281</v>
      </c>
      <c r="H240" s="33">
        <v>3666168</v>
      </c>
      <c r="I240" s="33">
        <v>92.58</v>
      </c>
      <c r="P240" s="86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4">
        <v>46306</v>
      </c>
      <c r="G241" s="33">
        <v>3639656.9999999995</v>
      </c>
      <c r="H241" s="33">
        <v>3653495.9999999995</v>
      </c>
      <c r="I241" s="33">
        <v>92.259999999999991</v>
      </c>
      <c r="P241" s="86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4">
        <v>46306</v>
      </c>
      <c r="G242" s="33">
        <v>867900</v>
      </c>
      <c r="H242" s="33">
        <v>871200</v>
      </c>
      <c r="I242" s="33">
        <v>22</v>
      </c>
      <c r="P242" s="86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4">
        <v>46306</v>
      </c>
      <c r="G243" s="33">
        <v>962580</v>
      </c>
      <c r="H243" s="33">
        <v>966240</v>
      </c>
      <c r="I243" s="33">
        <v>24.4</v>
      </c>
      <c r="P243" s="86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4">
        <v>46306</v>
      </c>
      <c r="G244" s="33">
        <v>2566222.5</v>
      </c>
      <c r="H244" s="33">
        <v>2575980</v>
      </c>
      <c r="I244" s="33">
        <v>65.05</v>
      </c>
      <c r="P244" s="86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4">
        <v>46306</v>
      </c>
      <c r="G245" s="33">
        <v>873423</v>
      </c>
      <c r="H245" s="33">
        <v>876744</v>
      </c>
      <c r="I245" s="33">
        <v>22.14</v>
      </c>
      <c r="P245" s="86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4">
        <v>46306</v>
      </c>
      <c r="G246" s="33">
        <v>1940940</v>
      </c>
      <c r="H246" s="33">
        <v>1948320</v>
      </c>
      <c r="I246" s="33">
        <v>49.2</v>
      </c>
      <c r="P246" s="86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4">
        <v>46306</v>
      </c>
      <c r="G247" s="33">
        <v>2082565.5</v>
      </c>
      <c r="H247" s="33">
        <v>2090484</v>
      </c>
      <c r="I247" s="33">
        <v>52.79</v>
      </c>
      <c r="P247" s="86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4">
        <v>46306</v>
      </c>
      <c r="G248" s="33">
        <v>3878723.9999999995</v>
      </c>
      <c r="H248" s="33">
        <v>3893471.9999999995</v>
      </c>
      <c r="I248" s="33">
        <v>98.32</v>
      </c>
      <c r="P248" s="86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145</v>
      </c>
      <c r="F249" s="84">
        <v>46307</v>
      </c>
      <c r="G249" s="33">
        <v>238784</v>
      </c>
      <c r="H249" s="33">
        <v>241080</v>
      </c>
      <c r="I249" s="33">
        <v>5.74</v>
      </c>
      <c r="P249" s="86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4">
        <v>46307</v>
      </c>
      <c r="G250" s="33">
        <v>321152</v>
      </c>
      <c r="H250" s="33">
        <v>324240</v>
      </c>
      <c r="I250" s="33">
        <v>7.72</v>
      </c>
      <c r="P250" s="86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4">
        <v>46307</v>
      </c>
      <c r="G251" s="33">
        <v>321984</v>
      </c>
      <c r="H251" s="33">
        <v>325080</v>
      </c>
      <c r="I251" s="33">
        <v>7.74</v>
      </c>
      <c r="P251" s="86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4">
        <v>46307</v>
      </c>
      <c r="G252" s="33">
        <v>162240</v>
      </c>
      <c r="H252" s="33">
        <v>163800</v>
      </c>
      <c r="I252" s="33">
        <v>3.9</v>
      </c>
      <c r="P252" s="86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4">
        <v>46307</v>
      </c>
      <c r="G253" s="33">
        <v>242112</v>
      </c>
      <c r="H253" s="33">
        <v>244440</v>
      </c>
      <c r="I253" s="33">
        <v>5.82</v>
      </c>
      <c r="P253" s="86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4">
        <v>46307</v>
      </c>
      <c r="G254" s="33">
        <v>324480</v>
      </c>
      <c r="H254" s="33">
        <v>327600</v>
      </c>
      <c r="I254" s="33">
        <v>7.8</v>
      </c>
      <c r="P254" s="86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146</v>
      </c>
      <c r="F255" s="84">
        <v>46307</v>
      </c>
      <c r="G255" s="33">
        <v>184473</v>
      </c>
      <c r="H255" s="33">
        <v>185400</v>
      </c>
      <c r="I255" s="33">
        <v>4.6349999999999998</v>
      </c>
      <c r="P255" s="86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4">
        <v>46307</v>
      </c>
      <c r="G256" s="33">
        <v>711823.00000000012</v>
      </c>
      <c r="H256" s="33">
        <v>715400.00000000012</v>
      </c>
      <c r="I256" s="33">
        <v>17.885000000000002</v>
      </c>
      <c r="P256" s="86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4">
        <v>46307</v>
      </c>
      <c r="G257" s="33">
        <v>930325</v>
      </c>
      <c r="H257" s="33">
        <v>935000</v>
      </c>
      <c r="I257" s="33">
        <v>23.375</v>
      </c>
      <c r="P257" s="86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4">
        <v>46307</v>
      </c>
      <c r="G258" s="33">
        <v>1950200</v>
      </c>
      <c r="H258" s="33">
        <v>1960000</v>
      </c>
      <c r="I258" s="33">
        <v>49</v>
      </c>
      <c r="P258" s="86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146</v>
      </c>
      <c r="F259" s="84">
        <v>46308</v>
      </c>
      <c r="G259" s="33">
        <v>77212</v>
      </c>
      <c r="H259" s="33">
        <v>77794</v>
      </c>
      <c r="I259" s="33">
        <v>1.94</v>
      </c>
      <c r="P259" s="86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4">
        <v>46308</v>
      </c>
      <c r="G260" s="33">
        <v>77212</v>
      </c>
      <c r="H260" s="33">
        <v>77794</v>
      </c>
      <c r="I260" s="33">
        <v>1.94</v>
      </c>
      <c r="P260" s="86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4">
        <v>46308</v>
      </c>
      <c r="G261" s="33">
        <v>78804</v>
      </c>
      <c r="H261" s="33">
        <v>79398</v>
      </c>
      <c r="I261" s="33">
        <v>1.98</v>
      </c>
      <c r="P261" s="86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4">
        <v>46308</v>
      </c>
      <c r="G262" s="33">
        <v>77610</v>
      </c>
      <c r="H262" s="33">
        <v>78195</v>
      </c>
      <c r="I262" s="33">
        <v>1.95</v>
      </c>
      <c r="P262" s="86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4">
        <v>46308</v>
      </c>
      <c r="G263" s="33">
        <v>480784</v>
      </c>
      <c r="H263" s="33">
        <v>484408</v>
      </c>
      <c r="I263" s="33">
        <v>12.08</v>
      </c>
      <c r="P263" s="86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4">
        <v>46308</v>
      </c>
      <c r="G264" s="33">
        <v>6326210</v>
      </c>
      <c r="H264" s="33">
        <v>6373895</v>
      </c>
      <c r="I264" s="33">
        <v>158.94999999999999</v>
      </c>
      <c r="P264" s="86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144</v>
      </c>
      <c r="F265" s="84">
        <v>46309</v>
      </c>
      <c r="G265" s="33">
        <v>122706</v>
      </c>
      <c r="H265" s="33">
        <v>123930</v>
      </c>
      <c r="I265" s="33">
        <v>3.06</v>
      </c>
      <c r="P265" s="86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4">
        <v>46309</v>
      </c>
      <c r="G266" s="33">
        <v>481400.50000000006</v>
      </c>
      <c r="H266" s="33">
        <v>486202.50000000006</v>
      </c>
      <c r="I266" s="33">
        <v>12.005000000000001</v>
      </c>
      <c r="P266" s="86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4">
        <v>46309</v>
      </c>
      <c r="G267" s="33">
        <v>157793.5</v>
      </c>
      <c r="H267" s="33">
        <v>159367.5</v>
      </c>
      <c r="I267" s="33">
        <v>3.9350000000000001</v>
      </c>
      <c r="P267" s="86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4">
        <v>46309</v>
      </c>
      <c r="G268" s="33">
        <v>394383.50000000006</v>
      </c>
      <c r="H268" s="33">
        <v>398317.50000000006</v>
      </c>
      <c r="I268" s="33">
        <v>9.8350000000000009</v>
      </c>
      <c r="P268" s="86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4">
        <v>46309</v>
      </c>
      <c r="G269" s="33">
        <v>80600.999999999985</v>
      </c>
      <c r="H269" s="33">
        <v>81404.999999999985</v>
      </c>
      <c r="I269" s="33">
        <v>2.0099999999999998</v>
      </c>
      <c r="P269" s="86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144</v>
      </c>
      <c r="F270" s="84">
        <v>46309</v>
      </c>
      <c r="G270" s="33">
        <v>62355.5</v>
      </c>
      <c r="H270" s="33">
        <v>62977.5</v>
      </c>
      <c r="I270" s="33">
        <v>1.5549999999999999</v>
      </c>
      <c r="P270" s="86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4">
        <v>46309</v>
      </c>
      <c r="G271" s="33">
        <v>159397.5</v>
      </c>
      <c r="H271" s="33">
        <v>160987.5</v>
      </c>
      <c r="I271" s="33">
        <v>3.9750000000000001</v>
      </c>
      <c r="P271" s="86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4">
        <v>46309</v>
      </c>
      <c r="G272" s="33">
        <v>79197.5</v>
      </c>
      <c r="H272" s="33">
        <v>79987.5</v>
      </c>
      <c r="I272" s="33">
        <v>1.9750000000000001</v>
      </c>
      <c r="P272" s="86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4">
        <v>46309</v>
      </c>
      <c r="G273" s="33">
        <v>236590</v>
      </c>
      <c r="H273" s="33">
        <v>238950</v>
      </c>
      <c r="I273" s="33">
        <v>5.9</v>
      </c>
      <c r="P273" s="86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143</v>
      </c>
      <c r="F274" s="84">
        <v>46309</v>
      </c>
      <c r="G274" s="33">
        <v>1158142</v>
      </c>
      <c r="H274" s="33">
        <v>1164066</v>
      </c>
      <c r="I274" s="33">
        <v>29.62</v>
      </c>
      <c r="P274" s="86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143</v>
      </c>
      <c r="F275" s="84">
        <v>46312</v>
      </c>
      <c r="G275" s="33">
        <v>1774358</v>
      </c>
      <c r="H275" s="33">
        <v>1783434</v>
      </c>
      <c r="I275" s="33">
        <v>45.38</v>
      </c>
      <c r="P275" s="86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147</v>
      </c>
      <c r="F276" s="84">
        <v>46310</v>
      </c>
      <c r="G276" s="33">
        <v>471579.00000000006</v>
      </c>
      <c r="H276" s="33">
        <v>487050.00000000006</v>
      </c>
      <c r="I276" s="33">
        <v>11.46</v>
      </c>
      <c r="P276" s="86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4">
        <v>46310</v>
      </c>
      <c r="G277" s="33">
        <v>712718</v>
      </c>
      <c r="H277" s="33">
        <v>736100</v>
      </c>
      <c r="I277" s="33">
        <v>17.32</v>
      </c>
      <c r="P277" s="86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4">
        <v>46310</v>
      </c>
      <c r="G278" s="33">
        <v>402447</v>
      </c>
      <c r="H278" s="33">
        <v>415650</v>
      </c>
      <c r="I278" s="33">
        <v>9.7799999999999994</v>
      </c>
      <c r="P278" s="86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4">
        <v>46310</v>
      </c>
      <c r="G279" s="33">
        <v>430429.00000000006</v>
      </c>
      <c r="H279" s="33">
        <v>444550.00000000006</v>
      </c>
      <c r="I279" s="33">
        <v>10.46</v>
      </c>
      <c r="P279" s="86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143</v>
      </c>
      <c r="F280" s="84">
        <v>46313</v>
      </c>
      <c r="G280" s="33">
        <v>232651.99999999997</v>
      </c>
      <c r="H280" s="33">
        <v>233245.49999999997</v>
      </c>
      <c r="I280" s="33">
        <v>5.9349999999999996</v>
      </c>
      <c r="P280" s="86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4">
        <v>46313</v>
      </c>
      <c r="G281" s="33">
        <v>614656</v>
      </c>
      <c r="H281" s="33">
        <v>616224</v>
      </c>
      <c r="I281" s="33">
        <v>15.68</v>
      </c>
      <c r="P281" s="86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4">
        <v>46313</v>
      </c>
      <c r="G282" s="33">
        <v>305956</v>
      </c>
      <c r="H282" s="33">
        <v>306736.5</v>
      </c>
      <c r="I282" s="33">
        <v>7.8049999999999997</v>
      </c>
      <c r="P282" s="86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148</v>
      </c>
      <c r="F283" s="84">
        <v>46313</v>
      </c>
      <c r="G283" s="33">
        <v>1982637</v>
      </c>
      <c r="H283" s="33">
        <v>2042415</v>
      </c>
      <c r="I283" s="33">
        <v>49.814999999999998</v>
      </c>
      <c r="P283" s="86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4">
        <v>46313</v>
      </c>
      <c r="G284" s="33">
        <v>390637</v>
      </c>
      <c r="H284" s="33">
        <v>402415</v>
      </c>
      <c r="I284" s="33">
        <v>9.8149999999999995</v>
      </c>
      <c r="P284" s="86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4">
        <v>46313</v>
      </c>
      <c r="G285" s="33">
        <v>277200</v>
      </c>
      <c r="H285" s="33">
        <v>294000</v>
      </c>
      <c r="I285" s="33">
        <v>70</v>
      </c>
      <c r="P285" s="86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4">
        <v>46313</v>
      </c>
      <c r="G286" s="33">
        <v>297000</v>
      </c>
      <c r="H286" s="33">
        <v>315000</v>
      </c>
      <c r="I286" s="33">
        <v>75</v>
      </c>
      <c r="P286" s="86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144</v>
      </c>
      <c r="F287" s="84">
        <v>46314</v>
      </c>
      <c r="G287" s="33">
        <v>1598386</v>
      </c>
      <c r="H287" s="33">
        <v>1610344</v>
      </c>
      <c r="I287" s="33">
        <v>39.86</v>
      </c>
      <c r="P287" s="86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4">
        <v>46314</v>
      </c>
      <c r="G288" s="33">
        <v>1575930</v>
      </c>
      <c r="H288" s="33">
        <v>1587720</v>
      </c>
      <c r="I288" s="33">
        <v>39.299999999999997</v>
      </c>
      <c r="P288" s="86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4">
        <v>46314</v>
      </c>
      <c r="G289" s="33">
        <v>1583549</v>
      </c>
      <c r="H289" s="33">
        <v>1595396</v>
      </c>
      <c r="I289" s="33">
        <v>39.49</v>
      </c>
      <c r="P289" s="86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4">
        <v>46314</v>
      </c>
      <c r="G290" s="33">
        <v>1176734.5</v>
      </c>
      <c r="H290" s="33">
        <v>1185538</v>
      </c>
      <c r="I290" s="33">
        <v>29.344999999999999</v>
      </c>
      <c r="P290" s="86"/>
    </row>
    <row r="291" spans="1:16" x14ac:dyDescent="0.3">
      <c r="F291" s="84"/>
    </row>
    <row r="292" spans="1:16" x14ac:dyDescent="0.3">
      <c r="F292" s="84"/>
    </row>
    <row r="293" spans="1:16" x14ac:dyDescent="0.3">
      <c r="F293" s="84"/>
    </row>
    <row r="294" spans="1:16" x14ac:dyDescent="0.3">
      <c r="F294" s="84"/>
    </row>
    <row r="295" spans="1:16" x14ac:dyDescent="0.3">
      <c r="F295" s="84"/>
    </row>
    <row r="296" spans="1:16" x14ac:dyDescent="0.3">
      <c r="F296" s="84"/>
    </row>
    <row r="297" spans="1:16" x14ac:dyDescent="0.3">
      <c r="F297" s="84"/>
    </row>
    <row r="298" spans="1:16" x14ac:dyDescent="0.3">
      <c r="F298" s="84"/>
    </row>
    <row r="299" spans="1:16" x14ac:dyDescent="0.3">
      <c r="F299" s="84"/>
    </row>
    <row r="300" spans="1:16" x14ac:dyDescent="0.3">
      <c r="F300" s="84"/>
    </row>
    <row r="301" spans="1:16" x14ac:dyDescent="0.3">
      <c r="F301" s="84"/>
    </row>
    <row r="302" spans="1:16" x14ac:dyDescent="0.3">
      <c r="F302" s="84"/>
    </row>
    <row r="303" spans="1:16" x14ac:dyDescent="0.3">
      <c r="F303" s="84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1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3" t="s">
        <v>88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</row>
    <row r="2" spans="1:12" ht="28.8" customHeight="1" x14ac:dyDescent="0.3">
      <c r="A2" s="36" t="s">
        <v>123</v>
      </c>
      <c r="B2" s="75" t="s">
        <v>117</v>
      </c>
      <c r="C2" s="76"/>
      <c r="D2" s="37" t="s">
        <v>124</v>
      </c>
      <c r="E2" s="38" t="s">
        <v>125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63"/>
      <c r="C3" s="44"/>
      <c r="D3" s="64">
        <v>147031872.84868422</v>
      </c>
      <c r="E3" s="45">
        <v>82540477.993421048</v>
      </c>
      <c r="F3" s="64"/>
      <c r="G3" s="64">
        <v>82540477.993421048</v>
      </c>
      <c r="H3" s="65">
        <v>8375743</v>
      </c>
      <c r="I3" s="64">
        <v>74164734.993421048</v>
      </c>
      <c r="J3" s="64">
        <v>41126379.109210528</v>
      </c>
      <c r="K3" s="63"/>
      <c r="L3" s="63"/>
    </row>
    <row r="4" spans="1:12" ht="17.399999999999999" customHeight="1" x14ac:dyDescent="0.3">
      <c r="A4" s="52" t="s">
        <v>89</v>
      </c>
      <c r="B4" s="66" t="s">
        <v>0</v>
      </c>
      <c r="C4" s="46" t="s">
        <v>87</v>
      </c>
      <c r="D4" s="66" t="s">
        <v>75</v>
      </c>
      <c r="E4" s="53" t="s">
        <v>90</v>
      </c>
      <c r="F4" s="66" t="s">
        <v>3</v>
      </c>
      <c r="G4" s="66" t="s">
        <v>76</v>
      </c>
      <c r="H4" s="66" t="s">
        <v>77</v>
      </c>
      <c r="I4" s="66" t="s">
        <v>78</v>
      </c>
      <c r="J4" s="67" t="s">
        <v>79</v>
      </c>
      <c r="K4" s="67" t="s">
        <v>80</v>
      </c>
      <c r="L4" s="66" t="s">
        <v>81</v>
      </c>
    </row>
    <row r="5" spans="1:12" ht="17.399999999999999" customHeight="1" x14ac:dyDescent="0.35">
      <c r="A5" s="55">
        <v>57</v>
      </c>
      <c r="B5" s="68" t="s">
        <v>8</v>
      </c>
      <c r="C5" s="48">
        <v>46304</v>
      </c>
      <c r="D5" s="69">
        <v>12289987.052631579</v>
      </c>
      <c r="E5" s="42" t="s">
        <v>83</v>
      </c>
      <c r="F5" s="70">
        <v>46304</v>
      </c>
      <c r="G5" s="71">
        <v>4915994.8210526323</v>
      </c>
      <c r="H5" s="69">
        <v>4022443</v>
      </c>
      <c r="I5" s="69">
        <v>893551.82105263229</v>
      </c>
      <c r="J5" s="69">
        <v>893551.82105263229</v>
      </c>
      <c r="K5" s="72" t="s">
        <v>133</v>
      </c>
      <c r="L5" s="68" t="s">
        <v>109</v>
      </c>
    </row>
    <row r="6" spans="1:12" ht="17.399999999999999" customHeight="1" x14ac:dyDescent="0.35">
      <c r="A6" s="56">
        <v>60</v>
      </c>
      <c r="B6" s="68" t="s">
        <v>8</v>
      </c>
      <c r="C6" s="48">
        <v>46306</v>
      </c>
      <c r="D6" s="69">
        <v>26271786.315789472</v>
      </c>
      <c r="E6" s="42" t="s">
        <v>83</v>
      </c>
      <c r="F6" s="70">
        <v>46306</v>
      </c>
      <c r="G6" s="69">
        <v>26271786.315789472</v>
      </c>
      <c r="H6" s="69">
        <v>0</v>
      </c>
      <c r="I6" s="69">
        <v>26271786.315789472</v>
      </c>
      <c r="J6" s="69">
        <v>26271786.315789472</v>
      </c>
      <c r="K6" s="72" t="s">
        <v>118</v>
      </c>
      <c r="L6" s="68" t="s">
        <v>109</v>
      </c>
    </row>
    <row r="7" spans="1:12" ht="17.399999999999999" customHeight="1" x14ac:dyDescent="0.35">
      <c r="A7" s="55">
        <v>63</v>
      </c>
      <c r="B7" s="68" t="s">
        <v>11</v>
      </c>
      <c r="C7" s="48">
        <v>46308</v>
      </c>
      <c r="D7" s="69">
        <v>7171484</v>
      </c>
      <c r="E7" s="42" t="s">
        <v>83</v>
      </c>
      <c r="F7" s="70">
        <v>46308</v>
      </c>
      <c r="G7" s="69">
        <v>1792871</v>
      </c>
      <c r="H7" s="69">
        <v>853300</v>
      </c>
      <c r="I7" s="69">
        <v>939571</v>
      </c>
      <c r="J7" s="69">
        <v>939571</v>
      </c>
      <c r="K7" s="72" t="s">
        <v>119</v>
      </c>
      <c r="L7" s="68" t="s">
        <v>109</v>
      </c>
    </row>
    <row r="8" spans="1:12" ht="17.399999999999999" customHeight="1" x14ac:dyDescent="0.35">
      <c r="A8" s="56">
        <v>64</v>
      </c>
      <c r="B8" s="68" t="s">
        <v>8</v>
      </c>
      <c r="C8" s="48">
        <v>46309</v>
      </c>
      <c r="D8" s="69">
        <v>1238264.4078947369</v>
      </c>
      <c r="E8" s="42" t="s">
        <v>83</v>
      </c>
      <c r="F8" s="70">
        <v>46309</v>
      </c>
      <c r="G8" s="69">
        <v>495305.76315789478</v>
      </c>
      <c r="H8" s="69">
        <v>0</v>
      </c>
      <c r="I8" s="69">
        <v>495305.76315789478</v>
      </c>
      <c r="J8" s="69">
        <v>495305.76315789478</v>
      </c>
      <c r="K8" s="72" t="s">
        <v>134</v>
      </c>
      <c r="L8" s="68" t="s">
        <v>109</v>
      </c>
    </row>
    <row r="9" spans="1:12" ht="17.399999999999999" customHeight="1" x14ac:dyDescent="0.35">
      <c r="A9" s="56">
        <v>67</v>
      </c>
      <c r="B9" s="68" t="s">
        <v>8</v>
      </c>
      <c r="C9" s="48">
        <v>46309</v>
      </c>
      <c r="D9" s="69">
        <v>538140.19736842101</v>
      </c>
      <c r="E9" s="42" t="s">
        <v>83</v>
      </c>
      <c r="F9" s="70">
        <v>46309</v>
      </c>
      <c r="G9" s="69">
        <v>215256.07894736843</v>
      </c>
      <c r="H9" s="69">
        <v>0</v>
      </c>
      <c r="I9" s="69">
        <v>215256.07894736843</v>
      </c>
      <c r="J9" s="69">
        <v>215256.07894736843</v>
      </c>
      <c r="K9" s="72" t="s">
        <v>134</v>
      </c>
      <c r="L9" s="68" t="s">
        <v>109</v>
      </c>
    </row>
    <row r="10" spans="1:12" ht="17.399999999999999" customHeight="1" x14ac:dyDescent="0.35">
      <c r="A10" s="47">
        <v>68</v>
      </c>
      <c r="B10" s="68" t="s">
        <v>11</v>
      </c>
      <c r="C10" s="48">
        <v>46309</v>
      </c>
      <c r="D10" s="69">
        <v>1164066</v>
      </c>
      <c r="E10" s="42" t="s">
        <v>83</v>
      </c>
      <c r="F10" s="70">
        <v>46309</v>
      </c>
      <c r="G10" s="69">
        <v>1164066</v>
      </c>
      <c r="H10" s="69">
        <v>0</v>
      </c>
      <c r="I10" s="69">
        <v>1164066</v>
      </c>
      <c r="J10" s="69">
        <v>1164066</v>
      </c>
      <c r="K10" s="72" t="s">
        <v>134</v>
      </c>
      <c r="L10" s="68" t="s">
        <v>109</v>
      </c>
    </row>
    <row r="11" spans="1:12" ht="17.399999999999999" customHeight="1" x14ac:dyDescent="0.35">
      <c r="A11" s="47">
        <v>39</v>
      </c>
      <c r="B11" s="68" t="s">
        <v>38</v>
      </c>
      <c r="C11" s="48">
        <v>46250</v>
      </c>
      <c r="D11" s="69">
        <v>2017305</v>
      </c>
      <c r="E11" s="42" t="s">
        <v>82</v>
      </c>
      <c r="F11" s="70">
        <v>46310</v>
      </c>
      <c r="G11" s="69">
        <v>2017305</v>
      </c>
      <c r="H11" s="69">
        <v>2000000</v>
      </c>
      <c r="I11" s="69">
        <v>17305</v>
      </c>
      <c r="J11" s="69">
        <v>17305</v>
      </c>
      <c r="K11" s="72" t="s">
        <v>112</v>
      </c>
      <c r="L11" s="68" t="s">
        <v>109</v>
      </c>
    </row>
    <row r="12" spans="1:12" ht="17.399999999999999" customHeight="1" x14ac:dyDescent="0.35">
      <c r="A12" s="47">
        <v>69</v>
      </c>
      <c r="B12" s="68" t="s">
        <v>11</v>
      </c>
      <c r="C12" s="48">
        <v>46312</v>
      </c>
      <c r="D12" s="69">
        <v>1783434</v>
      </c>
      <c r="E12" s="42" t="s">
        <v>83</v>
      </c>
      <c r="F12" s="70">
        <v>46312</v>
      </c>
      <c r="G12" s="69">
        <v>1783434</v>
      </c>
      <c r="H12" s="69">
        <v>0</v>
      </c>
      <c r="I12" s="69">
        <v>1783434</v>
      </c>
      <c r="J12" s="69">
        <v>1783434</v>
      </c>
      <c r="K12" s="72" t="s">
        <v>110</v>
      </c>
      <c r="L12" s="68" t="s">
        <v>109</v>
      </c>
    </row>
    <row r="13" spans="1:12" ht="17.399999999999999" customHeight="1" x14ac:dyDescent="0.35">
      <c r="A13" s="47">
        <v>71</v>
      </c>
      <c r="B13" s="68" t="s">
        <v>11</v>
      </c>
      <c r="C13" s="48">
        <v>46313</v>
      </c>
      <c r="D13" s="69">
        <v>1156206</v>
      </c>
      <c r="E13" s="42" t="s">
        <v>83</v>
      </c>
      <c r="F13" s="70">
        <v>46313</v>
      </c>
      <c r="G13" s="69">
        <v>1156206</v>
      </c>
      <c r="H13" s="69">
        <v>0</v>
      </c>
      <c r="I13" s="69">
        <v>1156206</v>
      </c>
      <c r="J13" s="69">
        <v>1156206</v>
      </c>
      <c r="K13" s="72" t="s">
        <v>135</v>
      </c>
      <c r="L13" s="68" t="s">
        <v>109</v>
      </c>
    </row>
    <row r="14" spans="1:12" ht="17.399999999999999" customHeight="1" x14ac:dyDescent="0.35">
      <c r="A14" s="47">
        <v>72</v>
      </c>
      <c r="B14" s="68" t="s">
        <v>99</v>
      </c>
      <c r="C14" s="48">
        <v>46313</v>
      </c>
      <c r="D14" s="69">
        <v>3053830</v>
      </c>
      <c r="E14" s="42" t="s">
        <v>83</v>
      </c>
      <c r="F14" s="70">
        <v>46313</v>
      </c>
      <c r="G14" s="69">
        <v>1526915</v>
      </c>
      <c r="H14" s="69">
        <v>1500000</v>
      </c>
      <c r="I14" s="69">
        <v>26915</v>
      </c>
      <c r="J14" s="69">
        <v>26915</v>
      </c>
      <c r="K14" s="72" t="s">
        <v>135</v>
      </c>
      <c r="L14" s="68" t="s">
        <v>109</v>
      </c>
    </row>
    <row r="15" spans="1:12" ht="17.399999999999999" customHeight="1" x14ac:dyDescent="0.35">
      <c r="A15" s="47">
        <v>73</v>
      </c>
      <c r="B15" s="68" t="s">
        <v>8</v>
      </c>
      <c r="C15" s="48">
        <v>46314</v>
      </c>
      <c r="D15" s="69">
        <v>5926550.6491228072</v>
      </c>
      <c r="E15" s="42" t="s">
        <v>83</v>
      </c>
      <c r="F15" s="70">
        <v>46314</v>
      </c>
      <c r="G15" s="69">
        <v>2370620.2596491231</v>
      </c>
      <c r="H15" s="69">
        <v>0</v>
      </c>
      <c r="I15" s="69">
        <v>2370620.2596491231</v>
      </c>
      <c r="J15" s="69">
        <v>2370620.2596491231</v>
      </c>
      <c r="K15" s="72" t="s">
        <v>120</v>
      </c>
      <c r="L15" s="68" t="s">
        <v>109</v>
      </c>
    </row>
    <row r="16" spans="1:12" ht="17.399999999999999" customHeight="1" x14ac:dyDescent="0.35">
      <c r="A16" s="47" t="s">
        <v>30</v>
      </c>
      <c r="B16" s="68" t="s">
        <v>8</v>
      </c>
      <c r="C16" s="48">
        <v>46232</v>
      </c>
      <c r="D16" s="69">
        <v>7077431.6118421052</v>
      </c>
      <c r="E16" s="42" t="s">
        <v>86</v>
      </c>
      <c r="F16" s="70">
        <v>46315</v>
      </c>
      <c r="G16" s="69">
        <v>2359143.8706140351</v>
      </c>
      <c r="H16" s="69">
        <v>0</v>
      </c>
      <c r="I16" s="69">
        <v>2359143.8706140351</v>
      </c>
      <c r="J16" s="69">
        <v>2359143.8706140351</v>
      </c>
      <c r="K16" s="72" t="s">
        <v>113</v>
      </c>
      <c r="L16" s="68" t="s">
        <v>109</v>
      </c>
    </row>
    <row r="17" spans="1:12" ht="17.399999999999999" customHeight="1" x14ac:dyDescent="0.35">
      <c r="A17" s="47">
        <v>47</v>
      </c>
      <c r="B17" s="68" t="s">
        <v>11</v>
      </c>
      <c r="C17" s="48">
        <v>46284</v>
      </c>
      <c r="D17" s="69">
        <v>4577624</v>
      </c>
      <c r="E17" s="42" t="s">
        <v>82</v>
      </c>
      <c r="F17" s="70">
        <v>46315</v>
      </c>
      <c r="G17" s="69">
        <v>3433218</v>
      </c>
      <c r="H17" s="69">
        <v>0</v>
      </c>
      <c r="I17" s="69">
        <v>3433218</v>
      </c>
      <c r="J17" s="69">
        <v>3433218</v>
      </c>
      <c r="K17" s="72" t="s">
        <v>113</v>
      </c>
      <c r="L17" s="68" t="s">
        <v>109</v>
      </c>
    </row>
    <row r="18" spans="1:12" ht="17.399999999999999" customHeight="1" x14ac:dyDescent="0.35">
      <c r="A18" s="42">
        <v>31</v>
      </c>
      <c r="B18" s="68" t="s">
        <v>8</v>
      </c>
      <c r="C18" s="48">
        <v>46240</v>
      </c>
      <c r="D18" s="69">
        <v>20832933.25877193</v>
      </c>
      <c r="E18" s="42" t="s">
        <v>86</v>
      </c>
      <c r="F18" s="70">
        <v>46321</v>
      </c>
      <c r="G18" s="69">
        <v>6944311.0862573097</v>
      </c>
      <c r="H18" s="69">
        <v>0</v>
      </c>
      <c r="I18" s="69">
        <v>6944311.0862573097</v>
      </c>
      <c r="J18" s="69">
        <v>0</v>
      </c>
      <c r="K18" s="72"/>
      <c r="L18" s="68" t="s">
        <v>136</v>
      </c>
    </row>
    <row r="19" spans="1:12" ht="17.399999999999999" customHeight="1" x14ac:dyDescent="0.35">
      <c r="A19" s="42">
        <v>37</v>
      </c>
      <c r="B19" s="68" t="s">
        <v>8</v>
      </c>
      <c r="C19" s="48">
        <v>46250</v>
      </c>
      <c r="D19" s="69">
        <v>8800606.5263157897</v>
      </c>
      <c r="E19" s="42" t="s">
        <v>86</v>
      </c>
      <c r="F19" s="70">
        <v>46321</v>
      </c>
      <c r="G19" s="69">
        <v>2933535.5087719299</v>
      </c>
      <c r="H19" s="69">
        <v>0</v>
      </c>
      <c r="I19" s="69">
        <v>2933535.5087719299</v>
      </c>
      <c r="J19" s="69">
        <v>0</v>
      </c>
      <c r="K19" s="72"/>
      <c r="L19" s="68" t="s">
        <v>136</v>
      </c>
    </row>
    <row r="20" spans="1:12" ht="17.399999999999999" customHeight="1" x14ac:dyDescent="0.35">
      <c r="A20" s="54">
        <v>44</v>
      </c>
      <c r="B20" s="68" t="s">
        <v>15</v>
      </c>
      <c r="C20" s="48">
        <v>46268</v>
      </c>
      <c r="D20" s="69">
        <v>7179524.3859649124</v>
      </c>
      <c r="E20" s="42" t="s">
        <v>82</v>
      </c>
      <c r="F20" s="70">
        <v>46321</v>
      </c>
      <c r="G20" s="69">
        <v>7179524.3859649124</v>
      </c>
      <c r="H20" s="69">
        <v>147567.97999999952</v>
      </c>
      <c r="I20" s="69">
        <v>7031956.4059649128</v>
      </c>
      <c r="J20" s="69">
        <v>0</v>
      </c>
      <c r="K20" s="72"/>
      <c r="L20" s="68" t="s">
        <v>136</v>
      </c>
    </row>
    <row r="21" spans="1:12" ht="17.399999999999999" customHeight="1" x14ac:dyDescent="0.35">
      <c r="A21" s="42">
        <v>46</v>
      </c>
      <c r="B21" s="68" t="s">
        <v>8</v>
      </c>
      <c r="C21" s="48">
        <v>46281</v>
      </c>
      <c r="D21" s="69">
        <v>9846915.1578947362</v>
      </c>
      <c r="E21" s="42" t="s">
        <v>86</v>
      </c>
      <c r="F21" s="70">
        <v>46321</v>
      </c>
      <c r="G21" s="69">
        <v>3282305.0526315789</v>
      </c>
      <c r="H21" s="69">
        <v>0</v>
      </c>
      <c r="I21" s="69">
        <v>3282305.0526315789</v>
      </c>
      <c r="J21" s="69">
        <v>0</v>
      </c>
      <c r="K21" s="72"/>
      <c r="L21" s="68" t="s">
        <v>136</v>
      </c>
    </row>
    <row r="22" spans="1:12" ht="17.399999999999999" customHeight="1" x14ac:dyDescent="0.35">
      <c r="A22" s="47">
        <v>51</v>
      </c>
      <c r="B22" s="68" t="s">
        <v>11</v>
      </c>
      <c r="C22" s="48">
        <v>46292</v>
      </c>
      <c r="D22" s="69">
        <v>4576040</v>
      </c>
      <c r="E22" s="42" t="s">
        <v>82</v>
      </c>
      <c r="F22" s="70">
        <v>46322</v>
      </c>
      <c r="G22" s="69">
        <v>2288020</v>
      </c>
      <c r="H22" s="69">
        <v>0</v>
      </c>
      <c r="I22" s="69">
        <v>2288020</v>
      </c>
      <c r="J22" s="69">
        <v>0</v>
      </c>
      <c r="K22" s="72"/>
      <c r="L22" s="68" t="s">
        <v>137</v>
      </c>
    </row>
    <row r="23" spans="1:12" ht="14.4" customHeight="1" x14ac:dyDescent="0.3">
      <c r="A23" s="47">
        <v>52</v>
      </c>
      <c r="B23" s="47" t="s">
        <v>99</v>
      </c>
      <c r="C23" s="48">
        <v>46297</v>
      </c>
      <c r="D23" s="49">
        <v>5384800</v>
      </c>
      <c r="E23" s="42" t="s">
        <v>82</v>
      </c>
      <c r="F23" s="48">
        <v>46327</v>
      </c>
      <c r="G23" s="49">
        <v>2599999.9999999991</v>
      </c>
      <c r="H23" s="49">
        <v>0</v>
      </c>
      <c r="I23" s="49">
        <v>2599999.9999999991</v>
      </c>
      <c r="J23" s="49">
        <v>0</v>
      </c>
      <c r="K23" s="50"/>
      <c r="L23" s="47" t="s">
        <v>121</v>
      </c>
    </row>
    <row r="24" spans="1:12" ht="14.4" customHeight="1" x14ac:dyDescent="0.3">
      <c r="A24" s="42">
        <v>55</v>
      </c>
      <c r="B24" s="47" t="s">
        <v>99</v>
      </c>
      <c r="C24" s="48">
        <v>46301</v>
      </c>
      <c r="D24" s="49">
        <v>4791465</v>
      </c>
      <c r="E24" s="42" t="s">
        <v>82</v>
      </c>
      <c r="F24" s="48">
        <v>46331</v>
      </c>
      <c r="G24" s="49">
        <v>2395732.5</v>
      </c>
      <c r="H24" s="49">
        <v>0</v>
      </c>
      <c r="I24" s="49">
        <v>2395732.5</v>
      </c>
      <c r="J24" s="49">
        <v>0</v>
      </c>
      <c r="K24" s="50"/>
      <c r="L24" s="47" t="s">
        <v>85</v>
      </c>
    </row>
    <row r="25" spans="1:12" ht="14.4" customHeight="1" x14ac:dyDescent="0.3">
      <c r="A25" s="42">
        <v>62</v>
      </c>
      <c r="B25" s="47" t="s">
        <v>11</v>
      </c>
      <c r="C25" s="48">
        <v>46307</v>
      </c>
      <c r="D25" s="49">
        <v>3795800</v>
      </c>
      <c r="E25" s="42" t="s">
        <v>82</v>
      </c>
      <c r="F25" s="48">
        <v>46337</v>
      </c>
      <c r="G25" s="49">
        <v>2846850</v>
      </c>
      <c r="H25" s="49">
        <v>0</v>
      </c>
      <c r="I25" s="49">
        <v>2846850</v>
      </c>
      <c r="J25" s="49">
        <v>0</v>
      </c>
      <c r="K25" s="50"/>
      <c r="L25" s="47" t="s">
        <v>85</v>
      </c>
    </row>
    <row r="26" spans="1:12" ht="14.4" customHeight="1" x14ac:dyDescent="0.3">
      <c r="A26" s="42">
        <v>63</v>
      </c>
      <c r="B26" s="47" t="s">
        <v>11</v>
      </c>
      <c r="C26" s="48">
        <v>46308</v>
      </c>
      <c r="D26" s="49">
        <v>7171484</v>
      </c>
      <c r="E26" s="42" t="s">
        <v>82</v>
      </c>
      <c r="F26" s="48">
        <v>46338</v>
      </c>
      <c r="G26" s="49">
        <v>5378613</v>
      </c>
      <c r="H26" s="49">
        <v>0</v>
      </c>
      <c r="I26" s="49">
        <v>5378613</v>
      </c>
      <c r="J26" s="49">
        <v>0</v>
      </c>
      <c r="K26" s="50"/>
      <c r="L26" s="47" t="s">
        <v>85</v>
      </c>
    </row>
    <row r="27" spans="1:12" ht="14.4" customHeight="1" x14ac:dyDescent="0.3">
      <c r="A27" s="42">
        <v>64</v>
      </c>
      <c r="B27" s="47" t="s">
        <v>8</v>
      </c>
      <c r="C27" s="48">
        <v>46309</v>
      </c>
      <c r="D27" s="49">
        <v>1238264.4078947369</v>
      </c>
      <c r="E27" s="42" t="s">
        <v>82</v>
      </c>
      <c r="F27" s="48">
        <v>46340</v>
      </c>
      <c r="G27" s="49">
        <v>371479.32236842107</v>
      </c>
      <c r="H27" s="49">
        <v>0</v>
      </c>
      <c r="I27" s="49">
        <v>371479.32236842107</v>
      </c>
      <c r="J27" s="49">
        <v>0</v>
      </c>
      <c r="K27" s="50"/>
      <c r="L27" s="47" t="s">
        <v>85</v>
      </c>
    </row>
    <row r="28" spans="1:12" ht="14.4" customHeight="1" x14ac:dyDescent="0.3">
      <c r="A28" s="42">
        <v>67</v>
      </c>
      <c r="B28" s="47" t="s">
        <v>8</v>
      </c>
      <c r="C28" s="48">
        <v>46309</v>
      </c>
      <c r="D28" s="49">
        <v>538140.19736842101</v>
      </c>
      <c r="E28" s="42" t="s">
        <v>82</v>
      </c>
      <c r="F28" s="48">
        <v>46340</v>
      </c>
      <c r="G28" s="49">
        <v>161442.05921052629</v>
      </c>
      <c r="H28" s="49">
        <v>0</v>
      </c>
      <c r="I28" s="49">
        <v>161442.05921052629</v>
      </c>
      <c r="J28" s="49">
        <v>0</v>
      </c>
      <c r="K28" s="50"/>
      <c r="L28" s="47" t="s">
        <v>85</v>
      </c>
    </row>
    <row r="29" spans="1:12" ht="14.4" customHeight="1" x14ac:dyDescent="0.3">
      <c r="A29" s="42">
        <v>72</v>
      </c>
      <c r="B29" s="47" t="s">
        <v>99</v>
      </c>
      <c r="C29" s="48">
        <v>46313</v>
      </c>
      <c r="D29" s="49">
        <v>3053830</v>
      </c>
      <c r="E29" s="42" t="s">
        <v>82</v>
      </c>
      <c r="F29" s="48">
        <v>46344</v>
      </c>
      <c r="G29" s="49">
        <v>1526915</v>
      </c>
      <c r="H29" s="49">
        <v>0</v>
      </c>
      <c r="I29" s="49">
        <v>1526915</v>
      </c>
      <c r="J29" s="49">
        <v>0</v>
      </c>
      <c r="K29" s="50"/>
      <c r="L29" s="47" t="s">
        <v>85</v>
      </c>
    </row>
    <row r="30" spans="1:12" ht="14.4" customHeight="1" x14ac:dyDescent="0.3">
      <c r="A30" s="42">
        <v>73</v>
      </c>
      <c r="B30" s="47" t="s">
        <v>8</v>
      </c>
      <c r="C30" s="48">
        <v>46314</v>
      </c>
      <c r="D30" s="49">
        <v>5926550.6491228072</v>
      </c>
      <c r="E30" s="42" t="s">
        <v>82</v>
      </c>
      <c r="F30" s="48">
        <v>46345</v>
      </c>
      <c r="G30" s="49">
        <v>1777965.1947368421</v>
      </c>
      <c r="H30" s="49">
        <v>0</v>
      </c>
      <c r="I30" s="49">
        <v>1777965.1947368421</v>
      </c>
      <c r="J30" s="49">
        <v>0</v>
      </c>
      <c r="K30" s="50"/>
      <c r="L30" s="47" t="s">
        <v>85</v>
      </c>
    </row>
    <row r="31" spans="1:12" ht="14.4" customHeight="1" x14ac:dyDescent="0.3">
      <c r="A31" s="42">
        <v>49</v>
      </c>
      <c r="B31" s="42" t="s">
        <v>38</v>
      </c>
      <c r="C31" s="57">
        <v>46286</v>
      </c>
      <c r="D31" s="58">
        <v>1923110</v>
      </c>
      <c r="E31" s="42" t="s">
        <v>82</v>
      </c>
      <c r="F31" s="57">
        <v>46346</v>
      </c>
      <c r="G31" s="58">
        <v>1923110</v>
      </c>
      <c r="H31" s="58">
        <v>0</v>
      </c>
      <c r="I31" s="58">
        <v>1923110</v>
      </c>
      <c r="J31" s="58">
        <v>0</v>
      </c>
      <c r="K31" s="59"/>
      <c r="L31" s="42" t="s">
        <v>85</v>
      </c>
    </row>
    <row r="32" spans="1:12" ht="14.4" customHeight="1" x14ac:dyDescent="0.3">
      <c r="A32" s="42">
        <v>57</v>
      </c>
      <c r="B32" s="42" t="s">
        <v>8</v>
      </c>
      <c r="C32" s="57">
        <v>46304</v>
      </c>
      <c r="D32" s="58">
        <v>12289987.052631579</v>
      </c>
      <c r="E32" s="42" t="s">
        <v>82</v>
      </c>
      <c r="F32" s="57">
        <v>46349</v>
      </c>
      <c r="G32" s="58">
        <v>3686996.1157894735</v>
      </c>
      <c r="H32" s="58">
        <v>0</v>
      </c>
      <c r="I32" s="58">
        <v>3686996.1157894735</v>
      </c>
      <c r="J32" s="58">
        <v>0</v>
      </c>
      <c r="K32" s="59"/>
      <c r="L32" s="42" t="s">
        <v>85</v>
      </c>
    </row>
    <row r="33" spans="1:12" ht="14.4" customHeight="1" x14ac:dyDescent="0.3">
      <c r="A33" s="42">
        <v>51</v>
      </c>
      <c r="B33" s="42" t="s">
        <v>11</v>
      </c>
      <c r="C33" s="57">
        <v>46292</v>
      </c>
      <c r="D33" s="58">
        <v>4576040</v>
      </c>
      <c r="E33" s="42" t="s">
        <v>84</v>
      </c>
      <c r="F33" s="57">
        <v>46353</v>
      </c>
      <c r="G33" s="58">
        <v>2288020</v>
      </c>
      <c r="H33" s="58">
        <v>0</v>
      </c>
      <c r="I33" s="58">
        <v>2288020</v>
      </c>
      <c r="J33" s="58">
        <v>0</v>
      </c>
      <c r="K33" s="59"/>
      <c r="L33" s="42" t="s">
        <v>85</v>
      </c>
    </row>
    <row r="34" spans="1:12" ht="14.4" customHeight="1" x14ac:dyDescent="0.3">
      <c r="A34" s="42">
        <v>64</v>
      </c>
      <c r="B34" s="42" t="s">
        <v>8</v>
      </c>
      <c r="C34" s="57">
        <v>46309</v>
      </c>
      <c r="D34" s="58">
        <v>1238264.4078947369</v>
      </c>
      <c r="E34" s="42" t="s">
        <v>84</v>
      </c>
      <c r="F34" s="57">
        <v>46370</v>
      </c>
      <c r="G34" s="58">
        <v>371479.32236842107</v>
      </c>
      <c r="H34" s="58">
        <v>0</v>
      </c>
      <c r="I34" s="58">
        <v>371479.32236842107</v>
      </c>
      <c r="J34" s="58">
        <v>0</v>
      </c>
      <c r="K34" s="59"/>
      <c r="L34" s="42" t="s">
        <v>85</v>
      </c>
    </row>
    <row r="35" spans="1:12" ht="14.4" customHeight="1" x14ac:dyDescent="0.3">
      <c r="A35" s="42">
        <v>67</v>
      </c>
      <c r="B35" s="42" t="s">
        <v>8</v>
      </c>
      <c r="C35" s="57">
        <v>46309</v>
      </c>
      <c r="D35" s="58">
        <v>538140.19736842101</v>
      </c>
      <c r="E35" s="42" t="s">
        <v>84</v>
      </c>
      <c r="F35" s="57">
        <v>46370</v>
      </c>
      <c r="G35" s="58">
        <v>161442.05921052629</v>
      </c>
      <c r="H35" s="58">
        <v>0</v>
      </c>
      <c r="I35" s="58">
        <v>161442.05921052629</v>
      </c>
      <c r="J35" s="58">
        <v>0</v>
      </c>
      <c r="K35" s="59"/>
      <c r="L35" s="42" t="s">
        <v>85</v>
      </c>
    </row>
    <row r="36" spans="1:12" ht="14.4" customHeight="1" x14ac:dyDescent="0.3">
      <c r="A36" s="42">
        <v>70</v>
      </c>
      <c r="B36" s="42" t="s">
        <v>100</v>
      </c>
      <c r="C36" s="57">
        <v>46310</v>
      </c>
      <c r="D36" s="58">
        <v>2083350</v>
      </c>
      <c r="E36" s="42" t="s">
        <v>82</v>
      </c>
      <c r="F36" s="57">
        <v>46370</v>
      </c>
      <c r="G36" s="58">
        <v>2083350</v>
      </c>
      <c r="H36" s="58">
        <v>0</v>
      </c>
      <c r="I36" s="58">
        <v>2083350</v>
      </c>
      <c r="J36" s="58">
        <v>0</v>
      </c>
      <c r="K36" s="59"/>
      <c r="L36" s="42" t="s">
        <v>85</v>
      </c>
    </row>
    <row r="37" spans="1:12" ht="14.4" customHeight="1" x14ac:dyDescent="0.3">
      <c r="A37" s="42">
        <v>73</v>
      </c>
      <c r="B37" s="42" t="s">
        <v>8</v>
      </c>
      <c r="C37" s="57">
        <v>46314</v>
      </c>
      <c r="D37" s="58">
        <v>5926550.6491228072</v>
      </c>
      <c r="E37" s="42" t="s">
        <v>84</v>
      </c>
      <c r="F37" s="57">
        <v>46375</v>
      </c>
      <c r="G37" s="58">
        <v>1777965.1947368421</v>
      </c>
      <c r="H37" s="58">
        <v>0</v>
      </c>
      <c r="I37" s="58">
        <v>1777965.1947368421</v>
      </c>
      <c r="J37" s="58">
        <v>0</v>
      </c>
      <c r="K37" s="59"/>
      <c r="L37" s="42" t="s">
        <v>85</v>
      </c>
    </row>
    <row r="38" spans="1:12" ht="14.4" customHeight="1" x14ac:dyDescent="0.3">
      <c r="A38" s="42">
        <v>57</v>
      </c>
      <c r="B38" s="42" t="s">
        <v>8</v>
      </c>
      <c r="C38" s="57">
        <v>46304</v>
      </c>
      <c r="D38" s="58">
        <v>12289987.052631579</v>
      </c>
      <c r="E38" s="42" t="s">
        <v>84</v>
      </c>
      <c r="F38" s="57">
        <v>46379</v>
      </c>
      <c r="G38" s="58">
        <v>3686996.1157894735</v>
      </c>
      <c r="H38" s="58">
        <v>0</v>
      </c>
      <c r="I38" s="58">
        <v>3686996.1157894735</v>
      </c>
      <c r="J38" s="58">
        <v>0</v>
      </c>
      <c r="K38" s="59"/>
      <c r="L38" s="42" t="s">
        <v>85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7" t="s">
        <v>40</v>
      </c>
      <c r="B1" s="78"/>
      <c r="C1" s="78"/>
      <c r="I1" s="81" t="s">
        <v>41</v>
      </c>
      <c r="J1" s="82"/>
      <c r="K1" s="82"/>
    </row>
    <row r="2" spans="1:11" ht="15.6" x14ac:dyDescent="0.3">
      <c r="A2" s="2" t="s">
        <v>42</v>
      </c>
      <c r="B2" s="79">
        <f>SUM(B4:B3000)-SUM(C4:C3000)</f>
        <v>96609843.927807063</v>
      </c>
      <c r="C2" s="80"/>
      <c r="I2" s="3" t="s">
        <v>42</v>
      </c>
      <c r="J2" s="79">
        <f>SUM(J4:J3000)-SUM(K4:K3000)</f>
        <v>-104387275</v>
      </c>
      <c r="K2" s="80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21277998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6549562.0000000019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3" t="s">
        <v>69</v>
      </c>
      <c r="B1" s="83"/>
      <c r="C1" s="83"/>
      <c r="D1" s="83"/>
    </row>
    <row r="2" spans="1:4" x14ac:dyDescent="0.3">
      <c r="A2" s="21" t="s">
        <v>70</v>
      </c>
      <c r="B2" s="22">
        <v>13</v>
      </c>
      <c r="C2" s="23">
        <v>41126379.109210521</v>
      </c>
      <c r="D2" s="24">
        <v>9.4615384615390212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1" t="s">
        <v>99</v>
      </c>
      <c r="B4" s="26">
        <v>1</v>
      </c>
      <c r="C4" s="27">
        <v>26915</v>
      </c>
      <c r="D4" s="28">
        <v>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10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10.5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8.5999999999985448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3pkl3SnRrPc9j9VuvVOHLaNmXriE4X3V/Brg1gAVfdauiTLNypJA2uxgbztIWrdWqTbwB8TSjgRi+E8ZsMEcbw==" saltValue="mlnm8Hq2XY2aZY8uiyrWBQ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2026-10-23T22:25:46Z</dcterms:modified>
</cp:coreProperties>
</file>