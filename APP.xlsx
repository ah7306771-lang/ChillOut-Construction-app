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C64E9F0-8CF0-4C42-A1FC-9D1C5848A71F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<sst xmlns="http://schemas.openxmlformats.org/spreadsheetml/2006/main" count="1035" uniqueCount="157">
  <si>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</si>
  <si>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</si>
  <si>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</si>
  <si>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</si>
  <si>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</si>
  <si>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</si>
  <si>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</si>
  <si>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</si>
  <si>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</si>
  <si>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</si>
  <si>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</si>
  <si>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</si>
  <si>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</si>
  <si>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</si>
  <si>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</si>
  <si>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</si>
  <si>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</si>
  <si>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</si>
  <si>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</si>
  <si>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</si>
  <si>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</si>
  <si>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</si>
  <si>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</si>
  <si>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</si>
  <si>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</si>
  <si>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</si>
  <si>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</si>
  <si>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</si>
  <si>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</si>
  <si>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</si>
  <si>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</si>
  <si>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</si>
  <si>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</si>
  <si>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</si>
  <si>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</si>
  <si>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</si>
  <si>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</si>
  <si>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</si>
  <si>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</si>
  <si>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</si>
  <si>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</si>
  <si>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</si>
  <si>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</si>
  <si>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</si>
  <si>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</si>
  <si>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</si>
  <si>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</si>
  <si>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</si>
  <si>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</si>
  <si>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</si>
  <si>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</si>
  <si>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</si>
  <si>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</si>
  <si>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</si>
  <si>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</si>
  <si>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</si>
  <si>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</si>
  <si>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</si>
  <si>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</si>
  <si>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</si>
  <si>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</si>
  <si>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</si>
  <si>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</si>
  <si>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</si>
  <si>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</si>
  <si>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</si>
  <si>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</si>
  <si>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</si>
  <si>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</si>
  <si>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</si>
  <si>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</si>
  <si>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</si>
  <si>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</si>
  <si>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</si>
  <si>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</si>
  <si>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</si>
  <si>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</si>
  <si>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</si>
  <si>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</si>
  <si>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</si>
  <si>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</si>
  <si>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</si>
  <si>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</si>
  <si>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</si>
  <si>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</si>
  <si>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</si>
  <si>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</si>
  <si>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</si>
  <si>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</si>
  <si>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</si>
  <si>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</si>
  <si>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</si>
  <si>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</si>
  <si>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</si>
  <si>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</si>
  <si>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</si>
  <si>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</si>
  <si>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</si>
  <si>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</si>
  <si>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</si>
  <si>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</si>
  <si>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</si>
  <si>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</si>
  <si>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</si>
  <si>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</si>
  <si>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</si>
  <si>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</si>
  <si>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</si>
  <si>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</si>
  <si>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</si>
  <si>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</si>
  <si>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</si>
  <si>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</si>
  <si>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</si>
  <si>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100% كاش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</si>
  <si>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</si>
  <si>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</si>
  <si>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</si>
  <si>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</si>
  <si>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</si>
  <si>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</si>
  <si>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</si>
  <si>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باقي 6 يوم</t>
  </si>
  <si>
    <t>كاش 25 % - باقي اجل 30 يوم</t>
  </si>
  <si>
    <t>اجل  60 يوم</t>
  </si>
  <si>
    <t>⚠ باقي 5 يوم</t>
  </si>
  <si>
    <t>⚠ باقي 36 يوم</t>
  </si>
  <si>
    <t>في ترانس</t>
  </si>
  <si>
    <t>كاش 50 % - اجل 50% كاش</t>
  </si>
  <si>
    <t>متبقي 12,071,894</t>
  </si>
  <si>
    <t>12 يوم</t>
  </si>
  <si>
    <t>⚠ مستحق</t>
  </si>
  <si>
    <t>9 أيام</t>
  </si>
  <si>
    <t>8 أيام</t>
  </si>
  <si>
    <t>7 أيام</t>
  </si>
  <si>
    <t>6 أيام</t>
  </si>
  <si>
    <t>3 أيام</t>
  </si>
  <si>
    <t>يومان</t>
  </si>
  <si>
    <t>يوم واحد</t>
  </si>
  <si>
    <t>🔔 متبقي يوم واحد</t>
  </si>
  <si>
    <t>🔔 متبقي 7 أيام</t>
  </si>
  <si>
    <t>⚠ باقي 2 يوم</t>
  </si>
  <si>
    <t>⚠ مستحق النهاردة</t>
  </si>
  <si>
    <t>⚠ باقي 4 يوم</t>
  </si>
  <si>
    <t>⚠ باقي 8 يوم</t>
  </si>
  <si>
    <t>⚠ باقي 35 يوم</t>
  </si>
  <si>
    <t>⚠ باقي 39 يوم</t>
  </si>
  <si>
    <t>⚠ باقي 10 يوم</t>
  </si>
  <si>
    <t>⚠ باقي 33 يوم</t>
  </si>
  <si>
    <t>⚠ باقي 17 يوم</t>
  </si>
  <si>
    <t>🔔 قريب الاستحقاق
40,225,482</t>
  </si>
  <si>
    <t>10 أيام</t>
  </si>
  <si>
    <t>4 أيام</t>
  </si>
  <si>
    <t>🔔 متبقي 6 أيام</t>
  </si>
  <si>
    <t>🟢 جارٍ
33,038,356</t>
  </si>
  <si>
    <t>✅ مسدّد
162,236,234</t>
  </si>
  <si>
    <t>⚠ متأخر
43,376,379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</si>
</sst>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1" xfId="0" applyFont="1" applyFill="1" applyBorder="1" applyAlignment="1">
      <alignment horizontal="center" vertical="center" wrapText="1"/>
    </xf>
    <xf numFmtId="0" fontId="17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6" fillId="9" borderId="14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0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1" xfId="0" applyFont="1" applyFill="1" applyBorder="1" applyAlignment="1">
      <alignment horizontal="center" vertical="center" wrapText="1"/>
    </xf>
    <xf numFmtId="0" fontId="20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7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G3" sqref="G3:G17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77">
        <v>46317</v>
      </c>
      <c r="E3" s="19" t="s">
        <v>15</v>
      </c>
      <c r="F3" s="19" t="s">
        <v>10</v>
      </c>
      <c r="G3" s="19" t="s">
        <v>141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77">
        <v>46321</v>
      </c>
      <c r="E4" s="19" t="s">
        <v>9</v>
      </c>
      <c r="F4" s="19" t="s">
        <v>10</v>
      </c>
      <c r="G4" s="19" t="s">
        <v>122</v>
      </c>
      <c r="H4" s="19" t="s">
        <v>129</v>
      </c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77">
        <v>46321</v>
      </c>
      <c r="E5" s="19" t="s">
        <v>9</v>
      </c>
      <c r="F5" s="19" t="s">
        <v>10</v>
      </c>
      <c r="G5" s="19" t="s">
        <v>122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77">
        <v>46315</v>
      </c>
      <c r="E6" s="19" t="s">
        <v>12</v>
      </c>
      <c r="F6" s="19" t="s">
        <v>10</v>
      </c>
      <c r="G6" s="19" t="s">
        <v>142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77">
        <v>46319</v>
      </c>
      <c r="E7" s="19" t="s">
        <v>12</v>
      </c>
      <c r="F7" s="19" t="s">
        <v>10</v>
      </c>
      <c r="G7" s="19" t="s">
        <v>143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77">
        <v>46320</v>
      </c>
      <c r="E8" s="19" t="s">
        <v>107</v>
      </c>
      <c r="F8" s="19" t="s">
        <v>10</v>
      </c>
      <c r="G8" s="19" t="s">
        <v>125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77">
        <v>46323</v>
      </c>
      <c r="E9" s="19" t="s">
        <v>108</v>
      </c>
      <c r="F9" s="19" t="s">
        <v>10</v>
      </c>
      <c r="G9" s="19" t="s">
        <v>144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77">
        <v>46350</v>
      </c>
      <c r="E10" s="19" t="s">
        <v>12</v>
      </c>
      <c r="F10" s="19" t="s">
        <v>10</v>
      </c>
      <c r="G10" s="19" t="s">
        <v>145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77">
        <v>46351</v>
      </c>
      <c r="E11" s="19" t="s">
        <v>107</v>
      </c>
      <c r="F11" s="19" t="s">
        <v>10</v>
      </c>
      <c r="G11" s="19" t="s">
        <v>126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77">
        <v>46354</v>
      </c>
      <c r="E12" s="19" t="s">
        <v>12</v>
      </c>
      <c r="F12" s="19" t="s">
        <v>10</v>
      </c>
      <c r="G12" s="19" t="s">
        <v>146</v>
      </c>
      <c r="H12" s="19"/>
      <c r="I12" s="19"/>
    </row>
    <row r="13" spans="1:9" x14ac:dyDescent="0.3">
      <c r="A13" s="19" t="s">
        <v>109</v>
      </c>
      <c r="B13" s="19">
        <v>74668</v>
      </c>
      <c r="C13" s="19">
        <v>1400000</v>
      </c>
      <c r="D13" s="77">
        <v>46325</v>
      </c>
      <c r="E13" s="19" t="s">
        <v>9</v>
      </c>
      <c r="F13" s="19" t="s">
        <v>10</v>
      </c>
      <c r="G13" s="19" t="s">
        <v>147</v>
      </c>
      <c r="H13" s="19"/>
      <c r="I13" s="19"/>
    </row>
    <row r="14" spans="1:9" x14ac:dyDescent="0.3">
      <c r="A14" s="19" t="s">
        <v>109</v>
      </c>
      <c r="B14" s="19">
        <v>74669</v>
      </c>
      <c r="C14" s="19">
        <v>1200000</v>
      </c>
      <c r="D14" s="77">
        <v>46325</v>
      </c>
      <c r="E14" s="19" t="s">
        <v>9</v>
      </c>
      <c r="F14" s="19" t="s">
        <v>10</v>
      </c>
      <c r="G14" s="19" t="s">
        <v>147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77">
        <v>46348</v>
      </c>
      <c r="E15" s="19"/>
      <c r="F15" s="19" t="s">
        <v>10</v>
      </c>
      <c r="G15" s="19" t="s">
        <v>148</v>
      </c>
      <c r="H15" s="19" t="s">
        <v>127</v>
      </c>
      <c r="I15" s="19"/>
    </row>
    <row r="16" spans="1:9" x14ac:dyDescent="0.3">
      <c r="A16" s="19" t="s">
        <v>109</v>
      </c>
      <c r="B16" s="19">
        <v>74675</v>
      </c>
      <c r="C16" s="19">
        <v>2395732.5</v>
      </c>
      <c r="D16" s="77">
        <v>46332</v>
      </c>
      <c r="E16" s="19" t="s">
        <v>9</v>
      </c>
      <c r="F16" s="19" t="s">
        <v>10</v>
      </c>
      <c r="G16" s="19" t="s">
        <v>149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5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116</v>
      </c>
      <c r="B2" s="17" t="s">
        <v>1</v>
      </c>
      <c r="C2" s="64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117</v>
      </c>
      <c r="B3" s="19">
        <v>77838205</v>
      </c>
      <c r="C3" s="32">
        <v>30000000</v>
      </c>
      <c r="D3" s="20">
        <v>46315</v>
      </c>
      <c r="E3" s="19" t="s">
        <v>118</v>
      </c>
      <c r="F3" s="19" t="s">
        <v>119</v>
      </c>
      <c r="G3" s="19" t="str">
        <f ca="1">IF(D3="","",IF(D3&lt;TODAY(),"⛔ متأخر "&amp;TODAY()-D3&amp;" يوم",IF(D3=TODAY(),"🔔 مستحق اليوم","⚠ باقي "&amp;D3-TODAY()&amp;" يوم")))</f>
        <v>🔔 مستحق اليوم</v>
      </c>
      <c r="H3" s="19"/>
      <c r="I3" s="19"/>
    </row>
    <row r="4" spans="1:9" x14ac:dyDescent="0.3">
      <c r="A4" s="19" t="s">
        <v>117</v>
      </c>
      <c r="B4" s="19">
        <v>77838206</v>
      </c>
      <c r="C4" s="32">
        <v>30000000</v>
      </c>
      <c r="D4" s="20">
        <v>46320</v>
      </c>
      <c r="E4" s="19" t="s">
        <v>118</v>
      </c>
      <c r="F4" s="19" t="s">
        <v>119</v>
      </c>
      <c r="G4" s="19" t="str">
        <f ca="1">IF(D4="","",IF(D4&lt;TODAY(),"⛔ متأخر "&amp;TODAY()-D4&amp;" يوم",IF(D4=TODAY(),"🔔 مستحق اليوم","⚠ باقي "&amp;D4-TODAY()&amp;" يوم")))</f>
        <v>⚠ باقي 5 يوم</v>
      </c>
      <c r="H4" s="19"/>
      <c r="I4" s="19"/>
    </row>
    <row r="5" spans="1:9" x14ac:dyDescent="0.3">
      <c r="A5" s="19" t="s">
        <v>120</v>
      </c>
      <c r="B5" s="19">
        <v>77838207</v>
      </c>
      <c r="C5" s="32">
        <v>290000</v>
      </c>
      <c r="D5" s="20">
        <v>46342</v>
      </c>
      <c r="E5" s="19" t="s">
        <v>118</v>
      </c>
      <c r="F5" s="19" t="s">
        <v>119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27 يوم</v>
      </c>
      <c r="H5" s="19"/>
      <c r="I5" s="19"/>
    </row>
    <row r="6" spans="1:9" x14ac:dyDescent="0.3">
      <c r="A6" s="19" t="s">
        <v>120</v>
      </c>
      <c r="B6" s="19">
        <v>77838208</v>
      </c>
      <c r="C6" s="32">
        <v>289000</v>
      </c>
      <c r="D6" s="20">
        <v>46372</v>
      </c>
      <c r="E6" s="19" t="s">
        <v>118</v>
      </c>
      <c r="F6" s="19" t="s">
        <v>119</v>
      </c>
      <c r="G6" s="19" t="str">
        <f t="shared" ca="1" si="0"/>
        <v>⚠ باقي 57 يوم</v>
      </c>
      <c r="H6" s="19"/>
      <c r="I6" s="19"/>
    </row>
    <row r="7" spans="1:9" x14ac:dyDescent="0.3">
      <c r="A7" s="19" t="s">
        <v>121</v>
      </c>
      <c r="B7" s="19">
        <v>77838188</v>
      </c>
      <c r="C7" s="32">
        <v>13281.81</v>
      </c>
      <c r="D7" s="20">
        <v>46336</v>
      </c>
      <c r="E7" s="19" t="s">
        <v>118</v>
      </c>
      <c r="F7" s="19" t="s">
        <v>119</v>
      </c>
      <c r="G7" s="19" t="str">
        <f t="shared" ca="1" si="0"/>
        <v>⚠ باقي 21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2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7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7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7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7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7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7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7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7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7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7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7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7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7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7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7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7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7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7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7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7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7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8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8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8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8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8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8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8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8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8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8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8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7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7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7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7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7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7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7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7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7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7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7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7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7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7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7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7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7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7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7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7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7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7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7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7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7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7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7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7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7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7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7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7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7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7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7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7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7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7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7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7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7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7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7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7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7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7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7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7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7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7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7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7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7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7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7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7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7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7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7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7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7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7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7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7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7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7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7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7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7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7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7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7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7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7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7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7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7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7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7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7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7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7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7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7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7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7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7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7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7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7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7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7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7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7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7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7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E131" s="19" t="s">
        <v>44</v>
      </c>
      <c r="F131" s="77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E132" s="19" t="s">
        <v>44</v>
      </c>
      <c r="F132" s="77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E133" s="19" t="s">
        <v>44</v>
      </c>
      <c r="F133" s="77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E134" s="19" t="s">
        <v>44</v>
      </c>
      <c r="F134" s="77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7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7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7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7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7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7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7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7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7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7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7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7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7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7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7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7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7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7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7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7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7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7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7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7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7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7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7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7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7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7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7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7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7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7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7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7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7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7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7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7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7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7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7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7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7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7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7">
        <v>46256</v>
      </c>
      <c r="G181" s="34">
        <v>6224850</v>
      </c>
      <c r="H181" s="34">
        <v>6271830</v>
      </c>
    </row>
    <row r="182" spans="1:8" x14ac:dyDescent="0.3">
      <c r="A182" s="19" t="s">
        <v>16</v>
      </c>
      <c r="B182" s="32">
        <v>40000</v>
      </c>
      <c r="C182" s="32">
        <v>41000</v>
      </c>
      <c r="D182" s="31">
        <v>44</v>
      </c>
      <c r="E182" s="19" t="s">
        <v>44</v>
      </c>
      <c r="F182" s="77">
        <v>46268</v>
      </c>
      <c r="G182" s="34">
        <v>449600</v>
      </c>
      <c r="H182" s="34">
        <v>460840</v>
      </c>
    </row>
    <row r="183" spans="1:8" x14ac:dyDescent="0.3">
      <c r="A183" s="19" t="s">
        <v>16</v>
      </c>
      <c r="B183" s="32">
        <v>40700</v>
      </c>
      <c r="C183" s="32">
        <v>41000</v>
      </c>
      <c r="D183" s="31">
        <v>44</v>
      </c>
      <c r="E183" s="19" t="s">
        <v>44</v>
      </c>
      <c r="F183" s="77">
        <v>46268</v>
      </c>
      <c r="G183" s="34">
        <v>3983716</v>
      </c>
      <c r="H183" s="34">
        <v>4013080</v>
      </c>
    </row>
    <row r="184" spans="1:8" x14ac:dyDescent="0.3">
      <c r="A184" s="19" t="s">
        <v>16</v>
      </c>
      <c r="B184" s="32">
        <v>40000</v>
      </c>
      <c r="C184" s="32">
        <v>41000</v>
      </c>
      <c r="D184" s="31">
        <v>44</v>
      </c>
      <c r="E184" s="19" t="s">
        <v>44</v>
      </c>
      <c r="F184" s="77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30</v>
      </c>
      <c r="F185" s="77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30</v>
      </c>
      <c r="F186" s="77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30</v>
      </c>
      <c r="F187" s="77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30</v>
      </c>
      <c r="F188" s="77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39</v>
      </c>
      <c r="F189" s="77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39</v>
      </c>
      <c r="F190" s="77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39</v>
      </c>
      <c r="F191" s="77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39</v>
      </c>
      <c r="F192" s="77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39</v>
      </c>
      <c r="F193" s="77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39</v>
      </c>
      <c r="F194" s="77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105</v>
      </c>
      <c r="F195" s="77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105</v>
      </c>
      <c r="F196" s="77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105</v>
      </c>
      <c r="F197" s="77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105</v>
      </c>
      <c r="F198" s="77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30</v>
      </c>
      <c r="F199" s="77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30</v>
      </c>
      <c r="F200" s="77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30</v>
      </c>
      <c r="F201" s="77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30</v>
      </c>
      <c r="F202" s="77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30</v>
      </c>
      <c r="F203" s="77">
        <v>46284</v>
      </c>
      <c r="G203" s="34">
        <v>150495</v>
      </c>
      <c r="H203" s="34">
        <v>150692.5</v>
      </c>
    </row>
    <row r="204" spans="1:8" x14ac:dyDescent="0.3">
      <c r="A204" s="19" t="s">
        <v>46</v>
      </c>
      <c r="B204" s="32">
        <v>39500</v>
      </c>
      <c r="C204" s="32">
        <v>41500</v>
      </c>
      <c r="D204" s="31">
        <v>49</v>
      </c>
      <c r="E204" s="19" t="s">
        <v>106</v>
      </c>
      <c r="F204" s="77">
        <v>46286</v>
      </c>
      <c r="G204" s="34">
        <v>125610</v>
      </c>
      <c r="H204" s="34">
        <v>131970</v>
      </c>
    </row>
    <row r="205" spans="1:8" x14ac:dyDescent="0.3">
      <c r="A205" s="19" t="s">
        <v>46</v>
      </c>
      <c r="B205" s="32">
        <v>39500</v>
      </c>
      <c r="C205" s="32">
        <v>41500</v>
      </c>
      <c r="D205" s="31">
        <v>49</v>
      </c>
      <c r="E205" s="19" t="s">
        <v>106</v>
      </c>
      <c r="F205" s="77">
        <v>46286</v>
      </c>
      <c r="G205" s="34">
        <v>926670</v>
      </c>
      <c r="H205" s="34">
        <v>973590</v>
      </c>
    </row>
    <row r="206" spans="1:8" x14ac:dyDescent="0.3">
      <c r="A206" s="19" t="s">
        <v>46</v>
      </c>
      <c r="B206" s="32">
        <v>39500</v>
      </c>
      <c r="C206" s="32">
        <v>41500</v>
      </c>
      <c r="D206" s="31">
        <v>49</v>
      </c>
      <c r="E206" s="19" t="s">
        <v>106</v>
      </c>
      <c r="F206" s="77">
        <v>46286</v>
      </c>
      <c r="G206" s="34">
        <v>154445</v>
      </c>
      <c r="H206" s="34">
        <v>162265</v>
      </c>
    </row>
    <row r="207" spans="1:8" x14ac:dyDescent="0.3">
      <c r="A207" s="19" t="s">
        <v>46</v>
      </c>
      <c r="B207" s="32">
        <v>39500</v>
      </c>
      <c r="C207" s="32">
        <v>41500</v>
      </c>
      <c r="D207" s="31">
        <v>49</v>
      </c>
      <c r="E207" s="19" t="s">
        <v>106</v>
      </c>
      <c r="F207" s="77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30</v>
      </c>
      <c r="F208" s="77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30</v>
      </c>
      <c r="F209" s="77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30</v>
      </c>
      <c r="F210" s="77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30</v>
      </c>
      <c r="F211" s="77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30</v>
      </c>
      <c r="F212" s="77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112</v>
      </c>
      <c r="F213" s="77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112</v>
      </c>
      <c r="F214" s="77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112</v>
      </c>
      <c r="F215" s="77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112</v>
      </c>
      <c r="F216" s="77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112</v>
      </c>
      <c r="F217" s="77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112</v>
      </c>
      <c r="F218" s="77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112</v>
      </c>
      <c r="F219" s="77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112</v>
      </c>
      <c r="F220" s="77">
        <v>46292</v>
      </c>
      <c r="G220" s="34">
        <v>1023445</v>
      </c>
      <c r="H220" s="34">
        <v>1070083</v>
      </c>
    </row>
    <row r="221" spans="1:8" x14ac:dyDescent="0.3">
      <c r="A221" s="19" t="s">
        <v>109</v>
      </c>
      <c r="B221" s="32">
        <v>38000</v>
      </c>
      <c r="C221" s="32">
        <v>40000</v>
      </c>
      <c r="D221" s="31">
        <v>52</v>
      </c>
      <c r="E221" s="19" t="s">
        <v>110</v>
      </c>
      <c r="F221" s="77">
        <v>46297</v>
      </c>
      <c r="G221" s="34">
        <v>639920</v>
      </c>
      <c r="H221" s="34">
        <v>673600</v>
      </c>
    </row>
    <row r="222" spans="1:8" x14ac:dyDescent="0.3">
      <c r="A222" s="19" t="s">
        <v>109</v>
      </c>
      <c r="B222" s="32">
        <v>38000</v>
      </c>
      <c r="C222" s="32">
        <v>40000</v>
      </c>
      <c r="D222" s="31">
        <v>52</v>
      </c>
      <c r="E222" s="19" t="s">
        <v>110</v>
      </c>
      <c r="F222" s="77">
        <v>46297</v>
      </c>
      <c r="G222" s="34">
        <v>4018120.0000000005</v>
      </c>
      <c r="H222" s="34">
        <v>4229600</v>
      </c>
    </row>
    <row r="223" spans="1:8" x14ac:dyDescent="0.3">
      <c r="A223" s="19" t="s">
        <v>109</v>
      </c>
      <c r="B223" s="32">
        <v>38000</v>
      </c>
      <c r="C223" s="32">
        <v>40000</v>
      </c>
      <c r="D223" s="31">
        <v>52</v>
      </c>
      <c r="E223" s="19" t="s">
        <v>110</v>
      </c>
      <c r="F223" s="77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109</v>
      </c>
      <c r="B224" s="32">
        <v>38000</v>
      </c>
      <c r="C224" s="32">
        <v>40000</v>
      </c>
      <c r="D224" s="31">
        <v>52</v>
      </c>
      <c r="E224" s="19" t="s">
        <v>110</v>
      </c>
      <c r="F224" s="77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111</v>
      </c>
      <c r="F225" s="77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111</v>
      </c>
      <c r="F226" s="77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111</v>
      </c>
      <c r="F227" s="77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111</v>
      </c>
      <c r="F228" s="77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111</v>
      </c>
      <c r="F229" s="77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111</v>
      </c>
      <c r="F230" s="77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111</v>
      </c>
      <c r="F231" s="77">
        <v>46303</v>
      </c>
      <c r="G231" s="34">
        <v>1166040</v>
      </c>
      <c r="H231" s="34">
        <v>1170468</v>
      </c>
    </row>
    <row r="232" spans="1:8" x14ac:dyDescent="0.3">
      <c r="A232" s="19" t="s">
        <v>109</v>
      </c>
      <c r="B232" s="32">
        <v>39900</v>
      </c>
      <c r="C232" s="32">
        <v>41000</v>
      </c>
      <c r="D232" s="31">
        <v>55</v>
      </c>
      <c r="E232" s="19" t="s">
        <v>110</v>
      </c>
      <c r="F232" s="77">
        <v>46301</v>
      </c>
      <c r="G232" s="34">
        <v>183540</v>
      </c>
      <c r="H232" s="34">
        <v>188599.99999999997</v>
      </c>
    </row>
    <row r="233" spans="1:8" x14ac:dyDescent="0.3">
      <c r="A233" s="19" t="s">
        <v>109</v>
      </c>
      <c r="B233" s="32">
        <v>39900</v>
      </c>
      <c r="C233" s="32">
        <v>41000</v>
      </c>
      <c r="D233" s="31">
        <v>55</v>
      </c>
      <c r="E233" s="19" t="s">
        <v>110</v>
      </c>
      <c r="F233" s="77">
        <v>46301</v>
      </c>
      <c r="G233" s="34">
        <v>1178646</v>
      </c>
      <c r="H233" s="34">
        <v>1211140</v>
      </c>
    </row>
    <row r="234" spans="1:8" x14ac:dyDescent="0.3">
      <c r="A234" s="19" t="s">
        <v>109</v>
      </c>
      <c r="B234" s="32">
        <v>39900</v>
      </c>
      <c r="C234" s="32">
        <v>41000</v>
      </c>
      <c r="D234" s="31">
        <v>55</v>
      </c>
      <c r="E234" s="19" t="s">
        <v>110</v>
      </c>
      <c r="F234" s="77">
        <v>46301</v>
      </c>
      <c r="G234" s="34">
        <v>156009</v>
      </c>
      <c r="H234" s="34">
        <v>160310</v>
      </c>
    </row>
    <row r="235" spans="1:8" x14ac:dyDescent="0.3">
      <c r="A235" s="19" t="s">
        <v>109</v>
      </c>
      <c r="B235" s="32">
        <v>39900</v>
      </c>
      <c r="C235" s="32">
        <v>41000</v>
      </c>
      <c r="D235" s="31">
        <v>55</v>
      </c>
      <c r="E235" s="19" t="s">
        <v>110</v>
      </c>
      <c r="F235" s="77">
        <v>46301</v>
      </c>
      <c r="G235" s="34">
        <v>786429</v>
      </c>
      <c r="H235" s="34">
        <v>808110</v>
      </c>
    </row>
    <row r="236" spans="1:8" x14ac:dyDescent="0.3">
      <c r="A236" s="19" t="s">
        <v>109</v>
      </c>
      <c r="B236" s="32">
        <v>38000</v>
      </c>
      <c r="C236" s="32">
        <v>41000</v>
      </c>
      <c r="D236" s="31">
        <v>55</v>
      </c>
      <c r="E236" s="19" t="s">
        <v>110</v>
      </c>
      <c r="F236" s="77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113</v>
      </c>
      <c r="F237" s="77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113</v>
      </c>
      <c r="F238" s="77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113</v>
      </c>
      <c r="F239" s="77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113</v>
      </c>
      <c r="F240" s="77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113</v>
      </c>
      <c r="F241" s="77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113</v>
      </c>
      <c r="F242" s="77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113</v>
      </c>
      <c r="F243" s="77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113</v>
      </c>
      <c r="F244" s="77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113</v>
      </c>
      <c r="F245" s="77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113</v>
      </c>
      <c r="F246" s="77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111</v>
      </c>
      <c r="F247" s="77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111</v>
      </c>
      <c r="F248" s="77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111</v>
      </c>
      <c r="F249" s="77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111</v>
      </c>
      <c r="F250" s="77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111</v>
      </c>
      <c r="F251" s="77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111</v>
      </c>
      <c r="F252" s="77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111</v>
      </c>
      <c r="F253" s="77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111</v>
      </c>
      <c r="F254" s="77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111</v>
      </c>
      <c r="F255" s="77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111</v>
      </c>
      <c r="F256" s="77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111</v>
      </c>
      <c r="F257" s="77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111</v>
      </c>
      <c r="F258" s="77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111</v>
      </c>
      <c r="F259" s="77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B260" s="32">
        <v>41600</v>
      </c>
      <c r="C260" s="32">
        <v>42000</v>
      </c>
      <c r="D260" s="31">
        <v>61</v>
      </c>
      <c r="E260" s="19" t="s">
        <v>114</v>
      </c>
      <c r="F260" s="77">
        <v>46307</v>
      </c>
      <c r="G260" s="34">
        <v>238784</v>
      </c>
      <c r="H260" s="34">
        <v>241080</v>
      </c>
    </row>
    <row r="261" spans="1:8" x14ac:dyDescent="0.3">
      <c r="A261" s="19" t="s">
        <v>11</v>
      </c>
      <c r="B261" s="32">
        <v>41600</v>
      </c>
      <c r="C261" s="32">
        <v>42000</v>
      </c>
      <c r="D261" s="31">
        <v>61</v>
      </c>
      <c r="E261" s="19" t="s">
        <v>114</v>
      </c>
      <c r="F261" s="77">
        <v>46307</v>
      </c>
      <c r="G261" s="34">
        <v>321152</v>
      </c>
      <c r="H261" s="34">
        <v>324240</v>
      </c>
    </row>
    <row r="262" spans="1:8" x14ac:dyDescent="0.3">
      <c r="A262" s="19" t="s">
        <v>11</v>
      </c>
      <c r="B262" s="32">
        <v>41600</v>
      </c>
      <c r="C262" s="32">
        <v>42000</v>
      </c>
      <c r="D262" s="31">
        <v>61</v>
      </c>
      <c r="E262" s="19" t="s">
        <v>114</v>
      </c>
      <c r="F262" s="77">
        <v>46307</v>
      </c>
      <c r="G262" s="34">
        <v>321984</v>
      </c>
      <c r="H262" s="34">
        <v>325080</v>
      </c>
    </row>
    <row r="263" spans="1:8" x14ac:dyDescent="0.3">
      <c r="A263" s="19" t="s">
        <v>11</v>
      </c>
      <c r="B263" s="32">
        <v>41600</v>
      </c>
      <c r="C263" s="32">
        <v>42000</v>
      </c>
      <c r="D263" s="31">
        <v>61</v>
      </c>
      <c r="E263" s="19" t="s">
        <v>114</v>
      </c>
      <c r="F263" s="77">
        <v>46307</v>
      </c>
      <c r="G263" s="34">
        <v>162240</v>
      </c>
      <c r="H263" s="34">
        <v>163800</v>
      </c>
    </row>
    <row r="264" spans="1:8" x14ac:dyDescent="0.3">
      <c r="A264" s="19" t="s">
        <v>11</v>
      </c>
      <c r="B264" s="32">
        <v>41600</v>
      </c>
      <c r="C264" s="32">
        <v>42000</v>
      </c>
      <c r="D264" s="31">
        <v>61</v>
      </c>
      <c r="E264" s="19" t="s">
        <v>114</v>
      </c>
      <c r="F264" s="77">
        <v>46307</v>
      </c>
      <c r="G264" s="34">
        <v>242112</v>
      </c>
      <c r="H264" s="34">
        <v>244440</v>
      </c>
    </row>
    <row r="265" spans="1:8" x14ac:dyDescent="0.3">
      <c r="A265" s="19" t="s">
        <v>11</v>
      </c>
      <c r="B265" s="32">
        <v>41600</v>
      </c>
      <c r="C265" s="32">
        <v>42000</v>
      </c>
      <c r="D265" s="31">
        <v>61</v>
      </c>
      <c r="E265" s="19" t="s">
        <v>114</v>
      </c>
      <c r="F265" s="77">
        <v>46307</v>
      </c>
      <c r="G265" s="34">
        <v>324480</v>
      </c>
      <c r="H265" s="34">
        <v>327600</v>
      </c>
    </row>
    <row r="266" spans="1:8" x14ac:dyDescent="0.3">
      <c r="A266" s="19" t="s">
        <v>11</v>
      </c>
      <c r="B266" s="32">
        <v>39800</v>
      </c>
      <c r="C266" s="32">
        <v>40000</v>
      </c>
      <c r="D266" s="31">
        <v>62</v>
      </c>
      <c r="E266" s="19" t="s">
        <v>123</v>
      </c>
      <c r="F266" s="77">
        <v>46307</v>
      </c>
      <c r="G266" s="34">
        <v>184473</v>
      </c>
      <c r="H266" s="34">
        <v>185400</v>
      </c>
    </row>
    <row r="267" spans="1:8" x14ac:dyDescent="0.3">
      <c r="A267" s="19" t="s">
        <v>11</v>
      </c>
      <c r="B267" s="32">
        <v>39800</v>
      </c>
      <c r="C267" s="32">
        <v>40000</v>
      </c>
      <c r="D267" s="31">
        <v>62</v>
      </c>
      <c r="E267" s="19" t="s">
        <v>123</v>
      </c>
      <c r="F267" s="77">
        <v>46307</v>
      </c>
      <c r="G267" s="34">
        <v>711823.00000000012</v>
      </c>
      <c r="H267" s="34">
        <v>715400.00000000012</v>
      </c>
    </row>
    <row r="268" spans="1:8" x14ac:dyDescent="0.3">
      <c r="A268" s="19" t="s">
        <v>11</v>
      </c>
      <c r="B268" s="32">
        <v>39800</v>
      </c>
      <c r="C268" s="32">
        <v>40000</v>
      </c>
      <c r="D268" s="31">
        <v>62</v>
      </c>
      <c r="E268" s="19" t="s">
        <v>123</v>
      </c>
      <c r="F268" s="77">
        <v>46307</v>
      </c>
      <c r="G268" s="34">
        <v>930325</v>
      </c>
      <c r="H268" s="34">
        <v>935000</v>
      </c>
    </row>
    <row r="269" spans="1:8" x14ac:dyDescent="0.3">
      <c r="A269" s="19" t="s">
        <v>11</v>
      </c>
      <c r="B269" s="32">
        <v>39800</v>
      </c>
      <c r="C269" s="32">
        <v>40000</v>
      </c>
      <c r="D269" s="31">
        <v>62</v>
      </c>
      <c r="E269" s="19" t="s">
        <v>123</v>
      </c>
      <c r="F269" s="77">
        <v>46307</v>
      </c>
      <c r="G269" s="34">
        <v>1950200</v>
      </c>
      <c r="H269" s="34">
        <v>1960000</v>
      </c>
    </row>
    <row r="270" spans="1:8" x14ac:dyDescent="0.3">
      <c r="A270" s="19" t="s">
        <v>11</v>
      </c>
      <c r="B270" s="32">
        <v>39800</v>
      </c>
      <c r="C270" s="32">
        <v>40100</v>
      </c>
      <c r="D270" s="31">
        <v>63</v>
      </c>
      <c r="E270" s="19" t="s">
        <v>123</v>
      </c>
      <c r="F270" s="77">
        <v>46308</v>
      </c>
      <c r="G270" s="34">
        <v>77212</v>
      </c>
      <c r="H270" s="34">
        <v>77794</v>
      </c>
    </row>
    <row r="271" spans="1:8" x14ac:dyDescent="0.3">
      <c r="A271" s="19" t="s">
        <v>11</v>
      </c>
      <c r="B271" s="32">
        <v>39800</v>
      </c>
      <c r="C271" s="32">
        <v>40100</v>
      </c>
      <c r="D271" s="31">
        <v>63</v>
      </c>
      <c r="E271" s="19" t="s">
        <v>123</v>
      </c>
      <c r="F271" s="77">
        <v>46308</v>
      </c>
      <c r="G271" s="34">
        <v>77212</v>
      </c>
      <c r="H271" s="34">
        <v>77794</v>
      </c>
    </row>
    <row r="272" spans="1:8" x14ac:dyDescent="0.3">
      <c r="A272" s="19" t="s">
        <v>11</v>
      </c>
      <c r="B272" s="32">
        <v>39800</v>
      </c>
      <c r="C272" s="32">
        <v>40100</v>
      </c>
      <c r="D272" s="31">
        <v>63</v>
      </c>
      <c r="E272" s="19" t="s">
        <v>123</v>
      </c>
      <c r="F272" s="77">
        <v>46308</v>
      </c>
      <c r="G272" s="34">
        <v>78804</v>
      </c>
      <c r="H272" s="34">
        <v>79398</v>
      </c>
    </row>
    <row r="273" spans="1:8" x14ac:dyDescent="0.3">
      <c r="A273" s="19" t="s">
        <v>11</v>
      </c>
      <c r="B273" s="32">
        <v>39800</v>
      </c>
      <c r="C273" s="32">
        <v>40100</v>
      </c>
      <c r="D273" s="31">
        <v>63</v>
      </c>
      <c r="E273" s="19" t="s">
        <v>123</v>
      </c>
      <c r="F273" s="77">
        <v>46308</v>
      </c>
      <c r="G273" s="34">
        <v>77610</v>
      </c>
      <c r="H273" s="34">
        <v>78195</v>
      </c>
    </row>
    <row r="274" spans="1:8" x14ac:dyDescent="0.3">
      <c r="A274" s="19" t="s">
        <v>11</v>
      </c>
      <c r="B274" s="32">
        <v>39800</v>
      </c>
      <c r="C274" s="32">
        <v>40100</v>
      </c>
      <c r="D274" s="31">
        <v>63</v>
      </c>
      <c r="E274" s="19" t="s">
        <v>123</v>
      </c>
      <c r="F274" s="77">
        <v>46308</v>
      </c>
      <c r="G274" s="34">
        <v>480784</v>
      </c>
      <c r="H274" s="34">
        <v>484408</v>
      </c>
    </row>
    <row r="275" spans="1:8" x14ac:dyDescent="0.3">
      <c r="A275" s="19" t="s">
        <v>11</v>
      </c>
      <c r="B275" s="32">
        <v>39800</v>
      </c>
      <c r="C275" s="32">
        <v>40100</v>
      </c>
      <c r="D275" s="31">
        <v>63</v>
      </c>
      <c r="E275" s="19" t="s">
        <v>123</v>
      </c>
      <c r="F275" s="77">
        <v>46308</v>
      </c>
      <c r="G275" s="34">
        <v>6326210</v>
      </c>
      <c r="H275" s="34">
        <v>6373895</v>
      </c>
    </row>
    <row r="276" spans="1:8" x14ac:dyDescent="0.3">
      <c r="A276" s="19" t="s">
        <v>8</v>
      </c>
      <c r="B276" s="32">
        <v>40100</v>
      </c>
      <c r="C276" s="32">
        <v>40500</v>
      </c>
      <c r="D276" s="31">
        <v>64</v>
      </c>
      <c r="E276" s="19" t="s">
        <v>113</v>
      </c>
      <c r="F276" s="77">
        <v>46309</v>
      </c>
      <c r="G276" s="34">
        <v>122706</v>
      </c>
      <c r="H276" s="34">
        <v>123930</v>
      </c>
    </row>
    <row r="277" spans="1:8" x14ac:dyDescent="0.3">
      <c r="A277" s="19" t="s">
        <v>8</v>
      </c>
      <c r="B277" s="32">
        <v>40100</v>
      </c>
      <c r="C277" s="32">
        <v>40500</v>
      </c>
      <c r="D277" s="31">
        <v>64</v>
      </c>
      <c r="E277" s="19" t="s">
        <v>113</v>
      </c>
      <c r="F277" s="77">
        <v>46309</v>
      </c>
      <c r="G277" s="34">
        <v>481400.50000000006</v>
      </c>
      <c r="H277" s="34">
        <v>486202.50000000006</v>
      </c>
    </row>
    <row r="278" spans="1:8" x14ac:dyDescent="0.3">
      <c r="A278" s="19" t="s">
        <v>8</v>
      </c>
      <c r="B278" s="32">
        <v>40100</v>
      </c>
      <c r="C278" s="32">
        <v>40500</v>
      </c>
      <c r="D278" s="31">
        <v>64</v>
      </c>
      <c r="E278" s="19" t="s">
        <v>113</v>
      </c>
      <c r="F278" s="77">
        <v>46309</v>
      </c>
      <c r="G278" s="34">
        <v>157793.5</v>
      </c>
      <c r="H278" s="34">
        <v>159367.5</v>
      </c>
    </row>
    <row r="279" spans="1:8" x14ac:dyDescent="0.3">
      <c r="A279" s="19" t="s">
        <v>8</v>
      </c>
      <c r="B279" s="32">
        <v>40100</v>
      </c>
      <c r="C279" s="32">
        <v>40500</v>
      </c>
      <c r="D279" s="31">
        <v>64</v>
      </c>
      <c r="E279" s="19" t="s">
        <v>113</v>
      </c>
      <c r="F279" s="77">
        <v>46309</v>
      </c>
      <c r="G279" s="34">
        <v>394383.50000000006</v>
      </c>
      <c r="H279" s="34">
        <v>398317.50000000006</v>
      </c>
    </row>
    <row r="280" spans="1:8" x14ac:dyDescent="0.3">
      <c r="A280" s="19" t="s">
        <v>8</v>
      </c>
      <c r="B280" s="32">
        <v>40100</v>
      </c>
      <c r="C280" s="32">
        <v>40500</v>
      </c>
      <c r="D280" s="31">
        <v>64</v>
      </c>
      <c r="E280" s="19" t="s">
        <v>113</v>
      </c>
      <c r="F280" s="77">
        <v>46309</v>
      </c>
      <c r="G280" s="34">
        <v>80600.999999999985</v>
      </c>
      <c r="H280" s="34">
        <v>81404.999999999985</v>
      </c>
    </row>
    <row r="281" spans="1:8" x14ac:dyDescent="0.3">
      <c r="A281" s="19" t="s">
        <v>8</v>
      </c>
      <c r="B281" s="32">
        <v>40100</v>
      </c>
      <c r="C281" s="32">
        <v>40500</v>
      </c>
      <c r="D281" s="31">
        <v>67</v>
      </c>
      <c r="E281" s="19" t="s">
        <v>113</v>
      </c>
      <c r="F281" s="77">
        <v>46309</v>
      </c>
      <c r="G281" s="34">
        <v>62355.5</v>
      </c>
      <c r="H281" s="34">
        <v>62977.5</v>
      </c>
    </row>
    <row r="282" spans="1:8" x14ac:dyDescent="0.3">
      <c r="A282" s="19" t="s">
        <v>8</v>
      </c>
      <c r="B282" s="32">
        <v>40100</v>
      </c>
      <c r="C282" s="32">
        <v>40500</v>
      </c>
      <c r="D282" s="31">
        <v>67</v>
      </c>
      <c r="E282" s="19" t="s">
        <v>113</v>
      </c>
      <c r="F282" s="77">
        <v>46309</v>
      </c>
      <c r="G282" s="34">
        <v>159397.5</v>
      </c>
      <c r="H282" s="34">
        <v>160987.5</v>
      </c>
    </row>
    <row r="283" spans="1:8" x14ac:dyDescent="0.3">
      <c r="A283" s="19" t="s">
        <v>8</v>
      </c>
      <c r="B283" s="32">
        <v>40100</v>
      </c>
      <c r="C283" s="32">
        <v>40500</v>
      </c>
      <c r="D283" s="31">
        <v>67</v>
      </c>
      <c r="E283" s="19" t="s">
        <v>113</v>
      </c>
      <c r="F283" s="77">
        <v>46309</v>
      </c>
      <c r="G283" s="34">
        <v>79197.5</v>
      </c>
      <c r="H283" s="34">
        <v>79987.5</v>
      </c>
    </row>
    <row r="284" spans="1:8" x14ac:dyDescent="0.3">
      <c r="A284" s="19" t="s">
        <v>8</v>
      </c>
      <c r="B284" s="32">
        <v>40100</v>
      </c>
      <c r="C284" s="32">
        <v>40500</v>
      </c>
      <c r="D284" s="31">
        <v>67</v>
      </c>
      <c r="E284" s="19" t="s">
        <v>113</v>
      </c>
      <c r="F284" s="77">
        <v>46309</v>
      </c>
      <c r="G284" s="34">
        <v>236590</v>
      </c>
      <c r="H284" s="34">
        <v>238950</v>
      </c>
    </row>
    <row r="285" spans="1:8" x14ac:dyDescent="0.3">
      <c r="A285" s="19" t="s">
        <v>11</v>
      </c>
      <c r="B285" s="32">
        <v>39100</v>
      </c>
      <c r="C285" s="32">
        <v>39300</v>
      </c>
      <c r="D285" s="31">
        <v>68</v>
      </c>
      <c r="E285" s="19" t="s">
        <v>111</v>
      </c>
      <c r="F285" s="77">
        <v>46309</v>
      </c>
      <c r="G285" s="34">
        <v>1158142</v>
      </c>
      <c r="H285" s="34">
        <v>1164066</v>
      </c>
    </row>
    <row r="286" spans="1:8" x14ac:dyDescent="0.3">
      <c r="A286" s="19" t="s">
        <v>11</v>
      </c>
      <c r="B286" s="32">
        <v>39100</v>
      </c>
      <c r="C286" s="32">
        <v>39300</v>
      </c>
      <c r="D286" s="31">
        <v>69</v>
      </c>
      <c r="E286" s="19" t="s">
        <v>111</v>
      </c>
      <c r="F286" s="77">
        <v>46312</v>
      </c>
      <c r="G286" s="34">
        <v>1774358</v>
      </c>
      <c r="H286" s="34">
        <v>1783434</v>
      </c>
    </row>
    <row r="287" spans="1:8" x14ac:dyDescent="0.3">
      <c r="A287" s="19" t="s">
        <v>11</v>
      </c>
      <c r="C287" s="32">
        <v>0</v>
      </c>
      <c r="D287" s="31">
        <v>69</v>
      </c>
      <c r="E287" s="19" t="s">
        <v>111</v>
      </c>
      <c r="F287" s="77"/>
      <c r="G287" s="34">
        <v>0</v>
      </c>
      <c r="H287" s="34">
        <v>0</v>
      </c>
    </row>
    <row r="288" spans="1:8" x14ac:dyDescent="0.3">
      <c r="A288" s="19" t="s">
        <v>115</v>
      </c>
      <c r="B288" s="32">
        <v>41150</v>
      </c>
      <c r="C288" s="32">
        <v>42500</v>
      </c>
      <c r="D288" s="31">
        <v>70</v>
      </c>
      <c r="E288" s="19" t="s">
        <v>124</v>
      </c>
      <c r="F288" s="77">
        <v>46310</v>
      </c>
      <c r="G288" s="34">
        <v>471579.00000000006</v>
      </c>
      <c r="H288" s="34">
        <v>487050.00000000006</v>
      </c>
    </row>
    <row r="289" spans="1:8" x14ac:dyDescent="0.3">
      <c r="A289" s="19" t="s">
        <v>115</v>
      </c>
      <c r="B289" s="32">
        <v>41150</v>
      </c>
      <c r="C289" s="32">
        <v>42500</v>
      </c>
      <c r="D289" s="31">
        <v>70</v>
      </c>
      <c r="E289" s="19" t="s">
        <v>124</v>
      </c>
      <c r="F289" s="77">
        <v>46310</v>
      </c>
      <c r="G289" s="34">
        <v>712718</v>
      </c>
      <c r="H289" s="34">
        <v>736100</v>
      </c>
    </row>
    <row r="290" spans="1:8" x14ac:dyDescent="0.3">
      <c r="A290" s="19" t="s">
        <v>115</v>
      </c>
      <c r="B290" s="32">
        <v>41150</v>
      </c>
      <c r="C290" s="32">
        <v>42500</v>
      </c>
      <c r="D290" s="31">
        <v>70</v>
      </c>
      <c r="E290" s="19" t="s">
        <v>124</v>
      </c>
      <c r="F290" s="77">
        <v>46310</v>
      </c>
      <c r="G290" s="34">
        <v>402447</v>
      </c>
      <c r="H290" s="34">
        <v>415650</v>
      </c>
    </row>
    <row r="291" spans="1:8" x14ac:dyDescent="0.3">
      <c r="A291" s="19" t="s">
        <v>115</v>
      </c>
      <c r="B291" s="32">
        <v>41150</v>
      </c>
      <c r="C291" s="32">
        <v>42500</v>
      </c>
      <c r="D291" s="31">
        <v>70</v>
      </c>
      <c r="E291" s="19" t="s">
        <v>124</v>
      </c>
      <c r="F291" s="77">
        <v>46310</v>
      </c>
      <c r="G291" s="34">
        <v>430429.00000000006</v>
      </c>
      <c r="H291" s="34">
        <v>444550.00000000006</v>
      </c>
    </row>
    <row r="292" spans="1:8" x14ac:dyDescent="0.3">
      <c r="A292" s="19" t="s">
        <v>11</v>
      </c>
      <c r="B292" s="32">
        <v>39200</v>
      </c>
      <c r="C292" s="32">
        <v>39300</v>
      </c>
      <c r="D292" s="31">
        <v>71</v>
      </c>
      <c r="E292" s="19" t="s">
        <v>111</v>
      </c>
      <c r="F292" s="77">
        <v>46313</v>
      </c>
      <c r="G292" s="34">
        <v>232651.99999999997</v>
      </c>
      <c r="H292" s="34">
        <v>233245.49999999997</v>
      </c>
    </row>
    <row r="293" spans="1:8" x14ac:dyDescent="0.3">
      <c r="A293" s="19" t="s">
        <v>11</v>
      </c>
      <c r="B293" s="32">
        <v>39200</v>
      </c>
      <c r="C293" s="32">
        <v>39300</v>
      </c>
      <c r="D293" s="31">
        <v>71</v>
      </c>
      <c r="E293" s="19" t="s">
        <v>111</v>
      </c>
      <c r="F293" s="77">
        <v>46313</v>
      </c>
      <c r="G293" s="34">
        <v>614656</v>
      </c>
      <c r="H293" s="34">
        <v>616224</v>
      </c>
    </row>
    <row r="294" spans="1:8" x14ac:dyDescent="0.3">
      <c r="A294" s="19" t="s">
        <v>11</v>
      </c>
      <c r="B294" s="32">
        <v>39200</v>
      </c>
      <c r="C294" s="32">
        <v>39300</v>
      </c>
      <c r="D294" s="31">
        <v>71</v>
      </c>
      <c r="E294" s="19" t="s">
        <v>111</v>
      </c>
      <c r="F294" s="77">
        <v>46313</v>
      </c>
      <c r="G294" s="34">
        <v>305956</v>
      </c>
      <c r="H294" s="34">
        <v>306736.5</v>
      </c>
    </row>
    <row r="295" spans="1:8" x14ac:dyDescent="0.3">
      <c r="A295" s="19" t="s">
        <v>109</v>
      </c>
      <c r="B295" s="32">
        <v>39800</v>
      </c>
      <c r="C295" s="32">
        <v>41000</v>
      </c>
      <c r="D295" s="31">
        <v>72</v>
      </c>
      <c r="E295" s="19" t="s">
        <v>128</v>
      </c>
      <c r="F295" s="77">
        <v>46313</v>
      </c>
      <c r="G295" s="34">
        <v>1982637</v>
      </c>
      <c r="H295" s="34">
        <v>2042415</v>
      </c>
    </row>
    <row r="296" spans="1:8" x14ac:dyDescent="0.3">
      <c r="A296" s="19" t="s">
        <v>109</v>
      </c>
      <c r="B296" s="32">
        <v>39800</v>
      </c>
      <c r="C296" s="32">
        <v>41000</v>
      </c>
      <c r="D296" s="31">
        <v>72</v>
      </c>
      <c r="E296" s="19" t="s">
        <v>128</v>
      </c>
      <c r="F296" s="77">
        <v>46313</v>
      </c>
      <c r="G296" s="34">
        <v>390637</v>
      </c>
      <c r="H296" s="34">
        <v>402415</v>
      </c>
    </row>
    <row r="297" spans="1:8" x14ac:dyDescent="0.3">
      <c r="A297" s="19" t="s">
        <v>109</v>
      </c>
      <c r="B297" s="32">
        <v>3960</v>
      </c>
      <c r="C297" s="32">
        <v>4200</v>
      </c>
      <c r="D297" s="31">
        <v>72</v>
      </c>
      <c r="E297" s="19" t="s">
        <v>128</v>
      </c>
      <c r="F297" s="77">
        <v>46313</v>
      </c>
      <c r="G297" s="34">
        <v>277200</v>
      </c>
      <c r="H297" s="34">
        <v>294000</v>
      </c>
    </row>
    <row r="298" spans="1:8" x14ac:dyDescent="0.3">
      <c r="A298" s="19" t="s">
        <v>109</v>
      </c>
      <c r="B298" s="32">
        <v>3960</v>
      </c>
      <c r="C298" s="32">
        <v>4200</v>
      </c>
      <c r="D298" s="31">
        <v>72</v>
      </c>
      <c r="E298" s="19" t="s">
        <v>128</v>
      </c>
      <c r="F298" s="77">
        <v>46313</v>
      </c>
      <c r="G298" s="34">
        <v>297000</v>
      </c>
      <c r="H298" s="34">
        <v>315000</v>
      </c>
    </row>
    <row r="299" spans="1:8" x14ac:dyDescent="0.3">
      <c r="A299" s="19" t="s">
        <v>8</v>
      </c>
      <c r="B299" s="32">
        <v>40100</v>
      </c>
      <c r="C299" s="32">
        <v>40400</v>
      </c>
      <c r="D299" s="31">
        <v>73</v>
      </c>
      <c r="E299" s="19" t="s">
        <v>113</v>
      </c>
      <c r="F299" s="77">
        <v>46314</v>
      </c>
      <c r="G299" s="34">
        <v>1598386</v>
      </c>
      <c r="H299" s="34">
        <v>1610344</v>
      </c>
    </row>
    <row r="300" spans="1:8" x14ac:dyDescent="0.3">
      <c r="A300" s="19" t="s">
        <v>8</v>
      </c>
      <c r="B300" s="32">
        <v>40100</v>
      </c>
      <c r="C300" s="32">
        <v>40400</v>
      </c>
      <c r="D300" s="31">
        <v>73</v>
      </c>
      <c r="E300" s="19" t="s">
        <v>113</v>
      </c>
      <c r="F300" s="77">
        <v>46314</v>
      </c>
      <c r="G300" s="34">
        <v>1575930</v>
      </c>
      <c r="H300" s="34">
        <v>1587720</v>
      </c>
    </row>
    <row r="301" spans="1:8" x14ac:dyDescent="0.3">
      <c r="A301" s="19" t="s">
        <v>8</v>
      </c>
      <c r="B301" s="32">
        <v>40100</v>
      </c>
      <c r="C301" s="32">
        <v>40400</v>
      </c>
      <c r="D301" s="31">
        <v>73</v>
      </c>
      <c r="E301" s="19" t="s">
        <v>113</v>
      </c>
      <c r="F301" s="77">
        <v>46314</v>
      </c>
      <c r="G301" s="34">
        <v>1583549</v>
      </c>
      <c r="H301" s="34">
        <v>1595396</v>
      </c>
    </row>
    <row r="302" spans="1:8" x14ac:dyDescent="0.3">
      <c r="A302" s="19" t="s">
        <v>8</v>
      </c>
      <c r="B302" s="32">
        <v>40100</v>
      </c>
      <c r="C302" s="32">
        <v>40400</v>
      </c>
      <c r="D302" s="31">
        <v>73</v>
      </c>
      <c r="E302" s="19" t="s">
        <v>113</v>
      </c>
      <c r="F302" s="77">
        <v>46314</v>
      </c>
      <c r="G302" s="34">
        <v>1176734.5</v>
      </c>
      <c r="H302" s="34">
        <v>1185538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4" sqref="A14:L41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6" t="s">
        <v>96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31.8" customHeight="1" x14ac:dyDescent="0.3">
      <c r="A2" s="36" t="s">
        <v>156</v>
      </c>
      <c r="B2" s="68" t="s">
        <v>150</v>
      </c>
      <c r="C2" s="69"/>
      <c r="D2" s="37" t="s">
        <v>155</v>
      </c>
      <c r="E2" s="38" t="s">
        <v>154</v>
      </c>
      <c r="F2" s="43" t="s">
        <v>99</v>
      </c>
      <c r="G2" s="39" t="s">
        <v>3</v>
      </c>
      <c r="H2" s="40" t="s">
        <v>100</v>
      </c>
      <c r="I2" s="39" t="s">
        <v>101</v>
      </c>
      <c r="J2" s="40" t="s">
        <v>102</v>
      </c>
      <c r="K2" s="39" t="s">
        <v>101</v>
      </c>
      <c r="L2" s="41" t="s">
        <v>103</v>
      </c>
    </row>
    <row r="3" spans="1:12" ht="14.4" customHeight="1" x14ac:dyDescent="0.3">
      <c r="A3" s="44" t="s">
        <v>104</v>
      </c>
      <c r="B3" s="45"/>
      <c r="C3" s="44"/>
      <c r="D3" s="46">
        <v>466287036.41008782</v>
      </c>
      <c r="E3" s="46">
        <v>287724951.74780703</v>
      </c>
      <c r="F3" s="46"/>
      <c r="G3" s="46">
        <v>287724951.74780703</v>
      </c>
      <c r="H3" s="47">
        <v>171084734.70076022</v>
      </c>
      <c r="I3" s="46">
        <v>116640217.04704678</v>
      </c>
      <c r="J3" s="46">
        <v>43376379.109210528</v>
      </c>
      <c r="K3" s="45"/>
      <c r="L3" s="45"/>
    </row>
    <row r="4" spans="1:12" ht="25.2" customHeight="1" x14ac:dyDescent="0.3">
      <c r="A4" s="55" t="s">
        <v>97</v>
      </c>
      <c r="B4" s="48" t="s">
        <v>0</v>
      </c>
      <c r="C4" s="48" t="s">
        <v>95</v>
      </c>
      <c r="D4" s="48" t="s">
        <v>83</v>
      </c>
      <c r="E4" s="56" t="s">
        <v>98</v>
      </c>
      <c r="F4" s="48" t="s">
        <v>3</v>
      </c>
      <c r="G4" s="48" t="s">
        <v>84</v>
      </c>
      <c r="H4" s="48" t="s">
        <v>85</v>
      </c>
      <c r="I4" s="48" t="s">
        <v>86</v>
      </c>
      <c r="J4" s="49" t="s">
        <v>87</v>
      </c>
      <c r="K4" s="49" t="s">
        <v>88</v>
      </c>
      <c r="L4" s="48" t="s">
        <v>89</v>
      </c>
    </row>
    <row r="5" spans="1:12" ht="14.4" customHeight="1" x14ac:dyDescent="0.3">
      <c r="A5" s="58">
        <v>57</v>
      </c>
      <c r="B5" s="50" t="s">
        <v>8</v>
      </c>
      <c r="C5" s="51">
        <v>46304</v>
      </c>
      <c r="D5" s="52">
        <v>12289987.052631579</v>
      </c>
      <c r="E5" s="42" t="s">
        <v>91</v>
      </c>
      <c r="F5" s="51">
        <v>46304</v>
      </c>
      <c r="G5" s="59">
        <v>4915994.8210526323</v>
      </c>
      <c r="H5" s="52">
        <v>4022443</v>
      </c>
      <c r="I5" s="52">
        <v>893551.82105263229</v>
      </c>
      <c r="J5" s="52">
        <v>893551.82105263229</v>
      </c>
      <c r="K5" s="53" t="s">
        <v>130</v>
      </c>
      <c r="L5" s="50" t="s">
        <v>131</v>
      </c>
    </row>
    <row r="6" spans="1:12" ht="14.4" customHeight="1" x14ac:dyDescent="0.3">
      <c r="A6" s="60">
        <v>60</v>
      </c>
      <c r="B6" s="50" t="s">
        <v>8</v>
      </c>
      <c r="C6" s="51">
        <v>46306</v>
      </c>
      <c r="D6" s="52">
        <v>26271786.315789472</v>
      </c>
      <c r="E6" s="42" t="s">
        <v>91</v>
      </c>
      <c r="F6" s="51">
        <v>46306</v>
      </c>
      <c r="G6" s="52">
        <v>26271786.315789472</v>
      </c>
      <c r="H6" s="52">
        <v>0</v>
      </c>
      <c r="I6" s="52">
        <v>26271786.315789472</v>
      </c>
      <c r="J6" s="52">
        <v>26271786.315789472</v>
      </c>
      <c r="K6" s="53" t="s">
        <v>151</v>
      </c>
      <c r="L6" s="50" t="s">
        <v>131</v>
      </c>
    </row>
    <row r="7" spans="1:12" ht="14.4" customHeight="1" x14ac:dyDescent="0.3">
      <c r="A7" s="57">
        <v>61</v>
      </c>
      <c r="B7" s="50" t="s">
        <v>11</v>
      </c>
      <c r="C7" s="51">
        <v>46307</v>
      </c>
      <c r="D7" s="52">
        <v>1626240</v>
      </c>
      <c r="E7" s="42" t="s">
        <v>91</v>
      </c>
      <c r="F7" s="51">
        <v>46307</v>
      </c>
      <c r="G7" s="52">
        <v>1626240</v>
      </c>
      <c r="H7" s="52">
        <v>1178490</v>
      </c>
      <c r="I7" s="52">
        <v>447750</v>
      </c>
      <c r="J7" s="52">
        <v>447750</v>
      </c>
      <c r="K7" s="53" t="s">
        <v>132</v>
      </c>
      <c r="L7" s="50" t="s">
        <v>131</v>
      </c>
    </row>
    <row r="8" spans="1:12" ht="14.4" customHeight="1" x14ac:dyDescent="0.3">
      <c r="A8" s="57">
        <v>62</v>
      </c>
      <c r="B8" s="50" t="s">
        <v>11</v>
      </c>
      <c r="C8" s="51">
        <v>46307</v>
      </c>
      <c r="D8" s="52">
        <v>3795800</v>
      </c>
      <c r="E8" s="42" t="s">
        <v>91</v>
      </c>
      <c r="F8" s="51">
        <v>46307</v>
      </c>
      <c r="G8" s="52">
        <v>948950</v>
      </c>
      <c r="H8" s="52">
        <v>0</v>
      </c>
      <c r="I8" s="52">
        <v>948950</v>
      </c>
      <c r="J8" s="52">
        <v>948950</v>
      </c>
      <c r="K8" s="53" t="s">
        <v>132</v>
      </c>
      <c r="L8" s="50" t="s">
        <v>131</v>
      </c>
    </row>
    <row r="9" spans="1:12" ht="14.4" customHeight="1" x14ac:dyDescent="0.3">
      <c r="A9" s="58">
        <v>63</v>
      </c>
      <c r="B9" s="50" t="s">
        <v>11</v>
      </c>
      <c r="C9" s="51">
        <v>46308</v>
      </c>
      <c r="D9" s="52">
        <v>7171484</v>
      </c>
      <c r="E9" s="42" t="s">
        <v>91</v>
      </c>
      <c r="F9" s="51">
        <v>46308</v>
      </c>
      <c r="G9" s="52">
        <v>1792871</v>
      </c>
      <c r="H9" s="52">
        <v>0</v>
      </c>
      <c r="I9" s="52">
        <v>1792871</v>
      </c>
      <c r="J9" s="52">
        <v>1792871</v>
      </c>
      <c r="K9" s="53" t="s">
        <v>133</v>
      </c>
      <c r="L9" s="50" t="s">
        <v>131</v>
      </c>
    </row>
    <row r="10" spans="1:12" ht="14.4" customHeight="1" x14ac:dyDescent="0.3">
      <c r="A10" s="60">
        <v>64</v>
      </c>
      <c r="B10" s="50" t="s">
        <v>8</v>
      </c>
      <c r="C10" s="51">
        <v>46309</v>
      </c>
      <c r="D10" s="52">
        <v>1238264.4078947369</v>
      </c>
      <c r="E10" s="42" t="s">
        <v>91</v>
      </c>
      <c r="F10" s="51">
        <v>46309</v>
      </c>
      <c r="G10" s="52">
        <v>495305.76315789478</v>
      </c>
      <c r="H10" s="52">
        <v>0</v>
      </c>
      <c r="I10" s="52">
        <v>495305.76315789478</v>
      </c>
      <c r="J10" s="52">
        <v>495305.76315789478</v>
      </c>
      <c r="K10" s="53" t="s">
        <v>134</v>
      </c>
      <c r="L10" s="50" t="s">
        <v>131</v>
      </c>
    </row>
    <row r="11" spans="1:12" ht="14.4" customHeight="1" x14ac:dyDescent="0.3">
      <c r="A11" s="57">
        <v>67</v>
      </c>
      <c r="B11" s="50" t="s">
        <v>8</v>
      </c>
      <c r="C11" s="51">
        <v>46309</v>
      </c>
      <c r="D11" s="52">
        <v>538140.19736842101</v>
      </c>
      <c r="E11" s="42" t="s">
        <v>91</v>
      </c>
      <c r="F11" s="51">
        <v>46309</v>
      </c>
      <c r="G11" s="52">
        <v>215256.07894736843</v>
      </c>
      <c r="H11" s="52">
        <v>0</v>
      </c>
      <c r="I11" s="52">
        <v>215256.07894736843</v>
      </c>
      <c r="J11" s="52">
        <v>215256.07894736843</v>
      </c>
      <c r="K11" s="53" t="s">
        <v>134</v>
      </c>
      <c r="L11" s="50" t="s">
        <v>131</v>
      </c>
    </row>
    <row r="12" spans="1:12" ht="14.4" customHeight="1" x14ac:dyDescent="0.3">
      <c r="A12" s="58">
        <v>68</v>
      </c>
      <c r="B12" s="50" t="s">
        <v>11</v>
      </c>
      <c r="C12" s="51">
        <v>46309</v>
      </c>
      <c r="D12" s="52">
        <v>1164066</v>
      </c>
      <c r="E12" s="42" t="s">
        <v>91</v>
      </c>
      <c r="F12" s="51">
        <v>46309</v>
      </c>
      <c r="G12" s="52">
        <v>1164066</v>
      </c>
      <c r="H12" s="52">
        <v>0</v>
      </c>
      <c r="I12" s="52">
        <v>1164066</v>
      </c>
      <c r="J12" s="52">
        <v>1164066</v>
      </c>
      <c r="K12" s="53" t="s">
        <v>134</v>
      </c>
      <c r="L12" s="50" t="s">
        <v>131</v>
      </c>
    </row>
    <row r="13" spans="1:12" ht="14.4" customHeight="1" x14ac:dyDescent="0.3">
      <c r="A13" s="57">
        <v>39</v>
      </c>
      <c r="B13" s="50" t="s">
        <v>46</v>
      </c>
      <c r="C13" s="51">
        <v>46250</v>
      </c>
      <c r="D13" s="52">
        <v>2017305</v>
      </c>
      <c r="E13" s="42" t="s">
        <v>90</v>
      </c>
      <c r="F13" s="51">
        <v>46310</v>
      </c>
      <c r="G13" s="52">
        <v>2017305</v>
      </c>
      <c r="H13" s="52">
        <v>2000000</v>
      </c>
      <c r="I13" s="52">
        <v>17305</v>
      </c>
      <c r="J13" s="52">
        <v>17305</v>
      </c>
      <c r="K13" s="53" t="s">
        <v>135</v>
      </c>
      <c r="L13" s="50" t="s">
        <v>131</v>
      </c>
    </row>
    <row r="14" spans="1:12" ht="14.4" customHeight="1" x14ac:dyDescent="0.3">
      <c r="A14" s="42">
        <v>69</v>
      </c>
      <c r="B14" s="50" t="s">
        <v>11</v>
      </c>
      <c r="C14" s="51">
        <v>46312</v>
      </c>
      <c r="D14" s="52">
        <v>1783434</v>
      </c>
      <c r="E14" s="42" t="s">
        <v>91</v>
      </c>
      <c r="F14" s="51">
        <v>46312</v>
      </c>
      <c r="G14" s="52">
        <v>1783434</v>
      </c>
      <c r="H14" s="52">
        <v>0</v>
      </c>
      <c r="I14" s="52">
        <v>1783434</v>
      </c>
      <c r="J14" s="52">
        <v>1783434</v>
      </c>
      <c r="K14" s="53" t="s">
        <v>152</v>
      </c>
      <c r="L14" s="50" t="s">
        <v>131</v>
      </c>
    </row>
    <row r="15" spans="1:12" ht="14.4" customHeight="1" x14ac:dyDescent="0.3">
      <c r="A15" s="42">
        <v>71</v>
      </c>
      <c r="B15" s="50" t="s">
        <v>11</v>
      </c>
      <c r="C15" s="51">
        <v>46313</v>
      </c>
      <c r="D15" s="52">
        <v>1156206</v>
      </c>
      <c r="E15" s="42" t="s">
        <v>91</v>
      </c>
      <c r="F15" s="51">
        <v>46313</v>
      </c>
      <c r="G15" s="52">
        <v>1156206</v>
      </c>
      <c r="H15" s="52">
        <v>0</v>
      </c>
      <c r="I15" s="52">
        <v>1156206</v>
      </c>
      <c r="J15" s="52">
        <v>1156206</v>
      </c>
      <c r="K15" s="53" t="s">
        <v>136</v>
      </c>
      <c r="L15" s="50" t="s">
        <v>131</v>
      </c>
    </row>
    <row r="16" spans="1:12" ht="14.4" customHeight="1" x14ac:dyDescent="0.3">
      <c r="A16" s="42">
        <v>72</v>
      </c>
      <c r="B16" s="50" t="s">
        <v>109</v>
      </c>
      <c r="C16" s="51">
        <v>46313</v>
      </c>
      <c r="D16" s="52">
        <v>3053830</v>
      </c>
      <c r="E16" s="42" t="s">
        <v>91</v>
      </c>
      <c r="F16" s="51">
        <v>46313</v>
      </c>
      <c r="G16" s="52">
        <v>1526915</v>
      </c>
      <c r="H16" s="52">
        <v>1500000</v>
      </c>
      <c r="I16" s="52">
        <v>26915</v>
      </c>
      <c r="J16" s="52">
        <v>26915</v>
      </c>
      <c r="K16" s="53" t="s">
        <v>136</v>
      </c>
      <c r="L16" s="50" t="s">
        <v>131</v>
      </c>
    </row>
    <row r="17" spans="1:12" ht="14.4" customHeight="1" x14ac:dyDescent="0.3">
      <c r="A17" s="57">
        <v>73</v>
      </c>
      <c r="B17" s="50" t="s">
        <v>8</v>
      </c>
      <c r="C17" s="51">
        <v>46314</v>
      </c>
      <c r="D17" s="52">
        <v>5926550.6491228072</v>
      </c>
      <c r="E17" s="42" t="s">
        <v>91</v>
      </c>
      <c r="F17" s="51">
        <v>46314</v>
      </c>
      <c r="G17" s="52">
        <v>2370620.2596491231</v>
      </c>
      <c r="H17" s="52">
        <v>0</v>
      </c>
      <c r="I17" s="52">
        <v>2370620.2596491231</v>
      </c>
      <c r="J17" s="52">
        <v>2370620.2596491231</v>
      </c>
      <c r="K17" s="53" t="s">
        <v>137</v>
      </c>
      <c r="L17" s="50" t="s">
        <v>131</v>
      </c>
    </row>
    <row r="18" spans="1:12" ht="14.4" customHeight="1" x14ac:dyDescent="0.3">
      <c r="A18" s="42" t="s">
        <v>38</v>
      </c>
      <c r="B18" s="50" t="s">
        <v>8</v>
      </c>
      <c r="C18" s="51">
        <v>46232</v>
      </c>
      <c r="D18" s="52">
        <v>7077431.6118421052</v>
      </c>
      <c r="E18" s="42" t="s">
        <v>94</v>
      </c>
      <c r="F18" s="51">
        <v>46315</v>
      </c>
      <c r="G18" s="52">
        <v>2359143.8706140351</v>
      </c>
      <c r="H18" s="52">
        <v>0</v>
      </c>
      <c r="I18" s="52">
        <v>2359143.8706140351</v>
      </c>
      <c r="J18" s="52">
        <v>2359143.8706140351</v>
      </c>
      <c r="K18" s="53" t="s">
        <v>138</v>
      </c>
      <c r="L18" s="50" t="s">
        <v>131</v>
      </c>
    </row>
    <row r="19" spans="1:12" ht="14.4" customHeight="1" x14ac:dyDescent="0.3">
      <c r="A19" s="42">
        <v>47</v>
      </c>
      <c r="B19" s="50" t="s">
        <v>11</v>
      </c>
      <c r="C19" s="51">
        <v>46284</v>
      </c>
      <c r="D19" s="52">
        <v>4577624</v>
      </c>
      <c r="E19" s="42" t="s">
        <v>90</v>
      </c>
      <c r="F19" s="51">
        <v>46315</v>
      </c>
      <c r="G19" s="52">
        <v>3433218</v>
      </c>
      <c r="H19" s="52">
        <v>0</v>
      </c>
      <c r="I19" s="52">
        <v>3433218</v>
      </c>
      <c r="J19" s="52">
        <v>3433218</v>
      </c>
      <c r="K19" s="53" t="s">
        <v>138</v>
      </c>
      <c r="L19" s="50" t="s">
        <v>131</v>
      </c>
    </row>
    <row r="20" spans="1:12" ht="14.4" customHeight="1" x14ac:dyDescent="0.3">
      <c r="A20" s="57">
        <v>43</v>
      </c>
      <c r="B20" s="50" t="s">
        <v>14</v>
      </c>
      <c r="C20" s="51">
        <v>46256</v>
      </c>
      <c r="D20" s="52">
        <v>17745354</v>
      </c>
      <c r="E20" s="42" t="s">
        <v>90</v>
      </c>
      <c r="F20" s="51">
        <v>46316</v>
      </c>
      <c r="G20" s="52">
        <v>17745354</v>
      </c>
      <c r="H20" s="52">
        <v>0</v>
      </c>
      <c r="I20" s="52">
        <v>17745354</v>
      </c>
      <c r="J20" s="52">
        <v>0</v>
      </c>
      <c r="K20" s="53"/>
      <c r="L20" s="50" t="s">
        <v>139</v>
      </c>
    </row>
    <row r="21" spans="1:12" ht="14.4" customHeight="1" x14ac:dyDescent="0.3">
      <c r="A21" s="42">
        <v>31</v>
      </c>
      <c r="B21" s="50" t="s">
        <v>8</v>
      </c>
      <c r="C21" s="51">
        <v>46240</v>
      </c>
      <c r="D21" s="52">
        <v>20832933.25877193</v>
      </c>
      <c r="E21" s="42" t="s">
        <v>94</v>
      </c>
      <c r="F21" s="51">
        <v>46321</v>
      </c>
      <c r="G21" s="52">
        <v>6944311.0862573097</v>
      </c>
      <c r="H21" s="52">
        <v>0</v>
      </c>
      <c r="I21" s="52">
        <v>6944311.0862573097</v>
      </c>
      <c r="J21" s="52">
        <v>0</v>
      </c>
      <c r="K21" s="53"/>
      <c r="L21" s="50" t="s">
        <v>153</v>
      </c>
    </row>
    <row r="22" spans="1:12" ht="14.4" customHeight="1" x14ac:dyDescent="0.3">
      <c r="A22" s="42">
        <v>37</v>
      </c>
      <c r="B22" s="50" t="s">
        <v>8</v>
      </c>
      <c r="C22" s="51">
        <v>46250</v>
      </c>
      <c r="D22" s="52">
        <v>8800606.5263157897</v>
      </c>
      <c r="E22" s="42" t="s">
        <v>94</v>
      </c>
      <c r="F22" s="51">
        <v>46321</v>
      </c>
      <c r="G22" s="52">
        <v>2933535.5087719299</v>
      </c>
      <c r="H22" s="52">
        <v>0</v>
      </c>
      <c r="I22" s="52">
        <v>2933535.5087719299</v>
      </c>
      <c r="J22" s="52">
        <v>0</v>
      </c>
      <c r="K22" s="53"/>
      <c r="L22" s="50" t="s">
        <v>153</v>
      </c>
    </row>
    <row r="23" spans="1:12" ht="14.4" customHeight="1" x14ac:dyDescent="0.3">
      <c r="A23" s="57">
        <v>44</v>
      </c>
      <c r="B23" s="50" t="s">
        <v>16</v>
      </c>
      <c r="C23" s="51">
        <v>46268</v>
      </c>
      <c r="D23" s="52">
        <v>7179524.3859649124</v>
      </c>
      <c r="E23" s="42" t="s">
        <v>90</v>
      </c>
      <c r="F23" s="51">
        <v>46321</v>
      </c>
      <c r="G23" s="52">
        <v>7179524.3859649124</v>
      </c>
      <c r="H23" s="52">
        <v>147567.97999999952</v>
      </c>
      <c r="I23" s="52">
        <v>7031956.4059649128</v>
      </c>
      <c r="J23" s="52">
        <v>0</v>
      </c>
      <c r="K23" s="53"/>
      <c r="L23" s="50" t="s">
        <v>153</v>
      </c>
    </row>
    <row r="24" spans="1:12" ht="14.4" customHeight="1" x14ac:dyDescent="0.3">
      <c r="A24" s="42">
        <v>46</v>
      </c>
      <c r="B24" s="50" t="s">
        <v>8</v>
      </c>
      <c r="C24" s="51">
        <v>46281</v>
      </c>
      <c r="D24" s="52">
        <v>9846915.1578947362</v>
      </c>
      <c r="E24" s="42" t="s">
        <v>94</v>
      </c>
      <c r="F24" s="51">
        <v>46321</v>
      </c>
      <c r="G24" s="52">
        <v>3282305.0526315789</v>
      </c>
      <c r="H24" s="52">
        <v>0</v>
      </c>
      <c r="I24" s="52">
        <v>3282305.0526315789</v>
      </c>
      <c r="J24" s="52">
        <v>0</v>
      </c>
      <c r="K24" s="53"/>
      <c r="L24" s="50" t="s">
        <v>153</v>
      </c>
    </row>
    <row r="25" spans="1:12" ht="14.4" customHeight="1" x14ac:dyDescent="0.3">
      <c r="A25" s="42">
        <v>51</v>
      </c>
      <c r="B25" s="50" t="s">
        <v>11</v>
      </c>
      <c r="C25" s="51">
        <v>46292</v>
      </c>
      <c r="D25" s="52">
        <v>4576040</v>
      </c>
      <c r="E25" s="42" t="s">
        <v>90</v>
      </c>
      <c r="F25" s="51">
        <v>46322</v>
      </c>
      <c r="G25" s="52">
        <v>2288020</v>
      </c>
      <c r="H25" s="52">
        <v>0</v>
      </c>
      <c r="I25" s="52">
        <v>2288020</v>
      </c>
      <c r="J25" s="52">
        <v>0</v>
      </c>
      <c r="K25" s="53"/>
      <c r="L25" s="50" t="s">
        <v>140</v>
      </c>
    </row>
    <row r="26" spans="1:12" ht="14.4" customHeight="1" x14ac:dyDescent="0.3">
      <c r="A26" s="42">
        <v>52</v>
      </c>
      <c r="B26" s="50" t="s">
        <v>109</v>
      </c>
      <c r="C26" s="51">
        <v>46297</v>
      </c>
      <c r="D26" s="52">
        <v>5384800</v>
      </c>
      <c r="E26" s="42" t="s">
        <v>90</v>
      </c>
      <c r="F26" s="51">
        <v>46327</v>
      </c>
      <c r="G26" s="52">
        <v>2599999.9999999991</v>
      </c>
      <c r="H26" s="52">
        <v>0</v>
      </c>
      <c r="I26" s="52">
        <v>2599999.9999999991</v>
      </c>
      <c r="J26" s="52">
        <v>0</v>
      </c>
      <c r="K26" s="53"/>
      <c r="L26" s="50" t="s">
        <v>93</v>
      </c>
    </row>
    <row r="27" spans="1:12" ht="14.4" customHeight="1" x14ac:dyDescent="0.3">
      <c r="A27" s="42">
        <v>55</v>
      </c>
      <c r="B27" s="50" t="s">
        <v>109</v>
      </c>
      <c r="C27" s="51">
        <v>46301</v>
      </c>
      <c r="D27" s="52">
        <v>4791465</v>
      </c>
      <c r="E27" s="42" t="s">
        <v>90</v>
      </c>
      <c r="F27" s="51">
        <v>46331</v>
      </c>
      <c r="G27" s="52">
        <v>2395732.5</v>
      </c>
      <c r="H27" s="52">
        <v>0</v>
      </c>
      <c r="I27" s="52">
        <v>2395732.5</v>
      </c>
      <c r="J27" s="52">
        <v>0</v>
      </c>
      <c r="K27" s="53"/>
      <c r="L27" s="50" t="s">
        <v>93</v>
      </c>
    </row>
    <row r="28" spans="1:12" ht="14.4" customHeight="1" x14ac:dyDescent="0.3">
      <c r="A28" s="42">
        <v>62</v>
      </c>
      <c r="B28" s="50" t="s">
        <v>11</v>
      </c>
      <c r="C28" s="51">
        <v>46307</v>
      </c>
      <c r="D28" s="52">
        <v>3795800</v>
      </c>
      <c r="E28" s="42" t="s">
        <v>90</v>
      </c>
      <c r="F28" s="51">
        <v>46337</v>
      </c>
      <c r="G28" s="52">
        <v>2846850</v>
      </c>
      <c r="H28" s="52">
        <v>0</v>
      </c>
      <c r="I28" s="52">
        <v>2846850</v>
      </c>
      <c r="J28" s="52">
        <v>0</v>
      </c>
      <c r="K28" s="53"/>
      <c r="L28" s="50" t="s">
        <v>93</v>
      </c>
    </row>
    <row r="29" spans="1:12" ht="14.4" customHeight="1" x14ac:dyDescent="0.3">
      <c r="A29" s="42">
        <v>63</v>
      </c>
      <c r="B29" s="50" t="s">
        <v>11</v>
      </c>
      <c r="C29" s="51">
        <v>46308</v>
      </c>
      <c r="D29" s="52">
        <v>7171484</v>
      </c>
      <c r="E29" s="42" t="s">
        <v>90</v>
      </c>
      <c r="F29" s="51">
        <v>46338</v>
      </c>
      <c r="G29" s="52">
        <v>5378613</v>
      </c>
      <c r="H29" s="52">
        <v>0</v>
      </c>
      <c r="I29" s="52">
        <v>5378613</v>
      </c>
      <c r="J29" s="52">
        <v>0</v>
      </c>
      <c r="K29" s="53"/>
      <c r="L29" s="50" t="s">
        <v>93</v>
      </c>
    </row>
    <row r="30" spans="1:12" ht="14.4" customHeight="1" x14ac:dyDescent="0.3">
      <c r="A30" s="42">
        <v>64</v>
      </c>
      <c r="B30" s="50" t="s">
        <v>8</v>
      </c>
      <c r="C30" s="51">
        <v>46309</v>
      </c>
      <c r="D30" s="52">
        <v>1238264.4078947369</v>
      </c>
      <c r="E30" s="42" t="s">
        <v>90</v>
      </c>
      <c r="F30" s="51">
        <v>46340</v>
      </c>
      <c r="G30" s="52">
        <v>371479.32236842107</v>
      </c>
      <c r="H30" s="52">
        <v>0</v>
      </c>
      <c r="I30" s="52">
        <v>371479.32236842107</v>
      </c>
      <c r="J30" s="52">
        <v>0</v>
      </c>
      <c r="K30" s="53"/>
      <c r="L30" s="50" t="s">
        <v>93</v>
      </c>
    </row>
    <row r="31" spans="1:12" ht="14.4" customHeight="1" x14ac:dyDescent="0.3">
      <c r="A31" s="42">
        <v>67</v>
      </c>
      <c r="B31" s="50" t="s">
        <v>8</v>
      </c>
      <c r="C31" s="51">
        <v>46309</v>
      </c>
      <c r="D31" s="52">
        <v>538140.19736842101</v>
      </c>
      <c r="E31" s="42" t="s">
        <v>90</v>
      </c>
      <c r="F31" s="51">
        <v>46340</v>
      </c>
      <c r="G31" s="52">
        <v>161442.05921052629</v>
      </c>
      <c r="H31" s="52">
        <v>0</v>
      </c>
      <c r="I31" s="52">
        <v>161442.05921052629</v>
      </c>
      <c r="J31" s="52">
        <v>0</v>
      </c>
      <c r="K31" s="53"/>
      <c r="L31" s="50" t="s">
        <v>93</v>
      </c>
    </row>
    <row r="32" spans="1:12" ht="14.4" customHeight="1" x14ac:dyDescent="0.3">
      <c r="A32" s="42">
        <v>72</v>
      </c>
      <c r="B32" s="50" t="s">
        <v>109</v>
      </c>
      <c r="C32" s="51">
        <v>46313</v>
      </c>
      <c r="D32" s="52">
        <v>3053830</v>
      </c>
      <c r="E32" s="42" t="s">
        <v>90</v>
      </c>
      <c r="F32" s="51">
        <v>46344</v>
      </c>
      <c r="G32" s="52">
        <v>1526915</v>
      </c>
      <c r="H32" s="52">
        <v>0</v>
      </c>
      <c r="I32" s="52">
        <v>1526915</v>
      </c>
      <c r="J32" s="52">
        <v>0</v>
      </c>
      <c r="K32" s="53"/>
      <c r="L32" s="50" t="s">
        <v>93</v>
      </c>
    </row>
    <row r="33" spans="1:12" ht="14.4" customHeight="1" x14ac:dyDescent="0.3">
      <c r="A33" s="42">
        <v>73</v>
      </c>
      <c r="B33" s="50" t="s">
        <v>8</v>
      </c>
      <c r="C33" s="51">
        <v>46314</v>
      </c>
      <c r="D33" s="52">
        <v>5926550.6491228072</v>
      </c>
      <c r="E33" s="42" t="s">
        <v>90</v>
      </c>
      <c r="F33" s="51">
        <v>46345</v>
      </c>
      <c r="G33" s="52">
        <v>1777965.1947368421</v>
      </c>
      <c r="H33" s="52">
        <v>0</v>
      </c>
      <c r="I33" s="52">
        <v>1777965.1947368421</v>
      </c>
      <c r="J33" s="52">
        <v>0</v>
      </c>
      <c r="K33" s="53"/>
      <c r="L33" s="50" t="s">
        <v>93</v>
      </c>
    </row>
    <row r="34" spans="1:12" ht="14.4" customHeight="1" x14ac:dyDescent="0.3">
      <c r="A34" s="42">
        <v>49</v>
      </c>
      <c r="B34" s="42" t="s">
        <v>46</v>
      </c>
      <c r="C34" s="61">
        <v>46286</v>
      </c>
      <c r="D34" s="62">
        <v>1923110</v>
      </c>
      <c r="E34" s="42" t="s">
        <v>90</v>
      </c>
      <c r="F34" s="61">
        <v>46346</v>
      </c>
      <c r="G34" s="62">
        <v>1923110</v>
      </c>
      <c r="H34" s="62">
        <v>0</v>
      </c>
      <c r="I34" s="62">
        <v>1923110</v>
      </c>
      <c r="J34" s="62">
        <v>0</v>
      </c>
      <c r="K34" s="63"/>
      <c r="L34" s="42" t="s">
        <v>93</v>
      </c>
    </row>
    <row r="35" spans="1:12" ht="14.4" customHeight="1" x14ac:dyDescent="0.3">
      <c r="A35" s="42">
        <v>57</v>
      </c>
      <c r="B35" s="42" t="s">
        <v>8</v>
      </c>
      <c r="C35" s="61">
        <v>46304</v>
      </c>
      <c r="D35" s="62">
        <v>12289987.052631579</v>
      </c>
      <c r="E35" s="42" t="s">
        <v>90</v>
      </c>
      <c r="F35" s="61">
        <v>46349</v>
      </c>
      <c r="G35" s="62">
        <v>3686996.1157894735</v>
      </c>
      <c r="H35" s="62">
        <v>0</v>
      </c>
      <c r="I35" s="62">
        <v>3686996.1157894735</v>
      </c>
      <c r="J35" s="62">
        <v>0</v>
      </c>
      <c r="K35" s="63"/>
      <c r="L35" s="42" t="s">
        <v>93</v>
      </c>
    </row>
    <row r="36" spans="1:12" ht="14.4" customHeight="1" x14ac:dyDescent="0.3">
      <c r="A36" s="42">
        <v>51</v>
      </c>
      <c r="B36" s="42" t="s">
        <v>11</v>
      </c>
      <c r="C36" s="61">
        <v>46292</v>
      </c>
      <c r="D36" s="62">
        <v>4576040</v>
      </c>
      <c r="E36" s="42" t="s">
        <v>92</v>
      </c>
      <c r="F36" s="61">
        <v>46353</v>
      </c>
      <c r="G36" s="62">
        <v>2288020</v>
      </c>
      <c r="H36" s="62">
        <v>0</v>
      </c>
      <c r="I36" s="62">
        <v>2288020</v>
      </c>
      <c r="J36" s="62">
        <v>0</v>
      </c>
      <c r="K36" s="63"/>
      <c r="L36" s="42" t="s">
        <v>93</v>
      </c>
    </row>
    <row r="37" spans="1:12" ht="14.4" customHeight="1" x14ac:dyDescent="0.3">
      <c r="A37" s="42">
        <v>64</v>
      </c>
      <c r="B37" s="42" t="s">
        <v>8</v>
      </c>
      <c r="C37" s="61">
        <v>46309</v>
      </c>
      <c r="D37" s="62">
        <v>1238264.4078947369</v>
      </c>
      <c r="E37" s="42" t="s">
        <v>92</v>
      </c>
      <c r="F37" s="61">
        <v>46370</v>
      </c>
      <c r="G37" s="62">
        <v>371479.32236842107</v>
      </c>
      <c r="H37" s="62">
        <v>0</v>
      </c>
      <c r="I37" s="62">
        <v>371479.32236842107</v>
      </c>
      <c r="J37" s="62">
        <v>0</v>
      </c>
      <c r="K37" s="63"/>
      <c r="L37" s="42" t="s">
        <v>93</v>
      </c>
    </row>
    <row r="38" spans="1:12" ht="14.4" customHeight="1" x14ac:dyDescent="0.3">
      <c r="A38" s="42">
        <v>67</v>
      </c>
      <c r="B38" s="42" t="s">
        <v>8</v>
      </c>
      <c r="C38" s="61">
        <v>46309</v>
      </c>
      <c r="D38" s="62">
        <v>538140.19736842101</v>
      </c>
      <c r="E38" s="42" t="s">
        <v>92</v>
      </c>
      <c r="F38" s="61">
        <v>46370</v>
      </c>
      <c r="G38" s="62">
        <v>161442.05921052629</v>
      </c>
      <c r="H38" s="62">
        <v>0</v>
      </c>
      <c r="I38" s="62">
        <v>161442.05921052629</v>
      </c>
      <c r="J38" s="62">
        <v>0</v>
      </c>
      <c r="K38" s="63"/>
      <c r="L38" s="42" t="s">
        <v>93</v>
      </c>
    </row>
    <row r="39" spans="1:12" ht="14.4" customHeight="1" x14ac:dyDescent="0.3">
      <c r="A39" s="42">
        <v>70</v>
      </c>
      <c r="B39" s="42" t="s">
        <v>115</v>
      </c>
      <c r="C39" s="61">
        <v>46310</v>
      </c>
      <c r="D39" s="62">
        <v>2083350</v>
      </c>
      <c r="E39" s="42" t="s">
        <v>90</v>
      </c>
      <c r="F39" s="61">
        <v>46370</v>
      </c>
      <c r="G39" s="62">
        <v>2083350</v>
      </c>
      <c r="H39" s="62">
        <v>0</v>
      </c>
      <c r="I39" s="62">
        <v>2083350</v>
      </c>
      <c r="J39" s="62">
        <v>0</v>
      </c>
      <c r="K39" s="63"/>
      <c r="L39" s="42" t="s">
        <v>93</v>
      </c>
    </row>
    <row r="40" spans="1:12" ht="14.4" customHeight="1" x14ac:dyDescent="0.3">
      <c r="A40" s="42">
        <v>73</v>
      </c>
      <c r="B40" s="42" t="s">
        <v>8</v>
      </c>
      <c r="C40" s="61">
        <v>46314</v>
      </c>
      <c r="D40" s="62">
        <v>5926550.6491228072</v>
      </c>
      <c r="E40" s="42" t="s">
        <v>92</v>
      </c>
      <c r="F40" s="61">
        <v>46375</v>
      </c>
      <c r="G40" s="62">
        <v>1777965.1947368421</v>
      </c>
      <c r="H40" s="62">
        <v>0</v>
      </c>
      <c r="I40" s="62">
        <v>1777965.1947368421</v>
      </c>
      <c r="J40" s="62">
        <v>0</v>
      </c>
      <c r="K40" s="63"/>
      <c r="L40" s="42" t="s">
        <v>93</v>
      </c>
    </row>
    <row r="41" spans="1:12" ht="14.4" customHeight="1" x14ac:dyDescent="0.3">
      <c r="A41" s="42">
        <v>57</v>
      </c>
      <c r="B41" s="42" t="s">
        <v>8</v>
      </c>
      <c r="C41" s="61">
        <v>46304</v>
      </c>
      <c r="D41" s="62">
        <v>12289987.052631579</v>
      </c>
      <c r="E41" s="42" t="s">
        <v>92</v>
      </c>
      <c r="F41" s="61">
        <v>46379</v>
      </c>
      <c r="G41" s="62">
        <v>3686996.1157894735</v>
      </c>
      <c r="H41" s="62">
        <v>0</v>
      </c>
      <c r="I41" s="62">
        <v>3686996.1157894735</v>
      </c>
      <c r="J41" s="62">
        <v>0</v>
      </c>
      <c r="K41" s="63"/>
      <c r="L41" s="42" t="s">
        <v>93</v>
      </c>
    </row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13">
    <cfRule type="containsText" dxfId="11" priority="7" operator="containsText" text="مسدّد">
      <formula>NOT(ISERROR(SEARCH("مسدّد",L6)))</formula>
    </cfRule>
  </conditionalFormatting>
  <conditionalFormatting sqref="L6:L13">
    <cfRule type="containsText" dxfId="10" priority="8" operator="containsText" text="مستحق">
      <formula>NOT(ISERROR(SEARCH("مستحق",L6)))</formula>
    </cfRule>
  </conditionalFormatting>
  <conditionalFormatting sqref="L6:L13">
    <cfRule type="containsText" dxfId="9" priority="9" operator="containsText" text="قريب">
      <formula>NOT(ISERROR(SEARCH("قريب",L6)))</formula>
    </cfRule>
  </conditionalFormatting>
  <conditionalFormatting sqref="L6:L13">
    <cfRule type="containsText" dxfId="8" priority="10" operator="containsText" text="جار">
      <formula>NOT(ISERROR(SEARCH("جار",L6)))</formula>
    </cfRule>
  </conditionalFormatting>
  <conditionalFormatting sqref="L6:L13">
    <cfRule type="containsText" dxfId="7" priority="11" operator="containsText" text="بدون">
      <formula>NOT(ISERROR(SEARCH("بدون",L6)))</formula>
    </cfRule>
  </conditionalFormatting>
  <conditionalFormatting sqref="J6:J13">
    <cfRule type="cellIs" dxfId="6" priority="12" operator="greaterThan">
      <formula>0</formula>
    </cfRule>
  </conditionalFormatting>
  <conditionalFormatting sqref="L14:L41">
    <cfRule type="containsText" dxfId="5" priority="1" operator="containsText" text="مسدّد">
      <formula>NOT(ISERROR(SEARCH("مسدّد",L14)))</formula>
    </cfRule>
  </conditionalFormatting>
  <conditionalFormatting sqref="L14:L41">
    <cfRule type="containsText" dxfId="4" priority="2" operator="containsText" text="مستحق">
      <formula>NOT(ISERROR(SEARCH("مستحق",L14)))</formula>
    </cfRule>
  </conditionalFormatting>
  <conditionalFormatting sqref="L14:L41">
    <cfRule type="containsText" dxfId="3" priority="3" operator="containsText" text="قريب">
      <formula>NOT(ISERROR(SEARCH("قريب",L14)))</formula>
    </cfRule>
  </conditionalFormatting>
  <conditionalFormatting sqref="L14:L41">
    <cfRule type="containsText" dxfId="2" priority="4" operator="containsText" text="جار">
      <formula>NOT(ISERROR(SEARCH("جار",L14)))</formula>
    </cfRule>
  </conditionalFormatting>
  <conditionalFormatting sqref="L14:L41">
    <cfRule type="containsText" dxfId="1" priority="5" operator="containsText" text="بدون">
      <formula>NOT(ISERROR(SEARCH("بدون",L14)))</formula>
    </cfRule>
  </conditionalFormatting>
  <conditionalFormatting sqref="J14:J41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0" t="s">
        <v>48</v>
      </c>
      <c r="B1" s="71"/>
      <c r="C1" s="71"/>
      <c r="I1" s="74" t="s">
        <v>49</v>
      </c>
      <c r="J1" s="75"/>
      <c r="K1" s="75"/>
    </row>
    <row r="2" spans="1:11" ht="15.6" x14ac:dyDescent="0.3">
      <c r="A2" s="2" t="s">
        <v>50</v>
      </c>
      <c r="B2" s="72">
        <f>SUM(B4:B3000)-SUM(C4:C3000)</f>
        <v>116349347.92780706</v>
      </c>
      <c r="C2" s="73"/>
      <c r="I2" s="3" t="s">
        <v>50</v>
      </c>
      <c r="J2" s="72">
        <f>SUM(J4:J3000)-SUM(K4:K3000)</f>
        <v>-124294435</v>
      </c>
      <c r="K2" s="73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124294435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23527998</v>
      </c>
      <c r="C7" s="7">
        <v>0</v>
      </c>
    </row>
    <row r="8" spans="1:11" ht="18" customHeight="1" x14ac:dyDescent="0.35">
      <c r="A8" s="6" t="s">
        <v>46</v>
      </c>
      <c r="B8" s="7">
        <v>1940415.0000000005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109</v>
      </c>
      <c r="B12" s="7">
        <v>6549562.0000000019</v>
      </c>
      <c r="C12" s="7">
        <v>0</v>
      </c>
    </row>
    <row r="13" spans="1:11" x14ac:dyDescent="0.3">
      <c r="A13" t="s">
        <v>115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6" t="s">
        <v>77</v>
      </c>
      <c r="B1" s="76"/>
      <c r="C1" s="76"/>
      <c r="D1" s="76"/>
    </row>
    <row r="2" spans="1:4" x14ac:dyDescent="0.3">
      <c r="A2" s="21" t="s">
        <v>78</v>
      </c>
      <c r="B2" s="22">
        <v>15</v>
      </c>
      <c r="C2" s="23">
        <v>43376379.109210521</v>
      </c>
      <c r="D2" s="24">
        <v>5.9333333333343035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4" t="s">
        <v>109</v>
      </c>
      <c r="B4" s="26">
        <v>1</v>
      </c>
      <c r="C4" s="27">
        <v>26915</v>
      </c>
      <c r="D4" s="28">
        <v>3</v>
      </c>
    </row>
    <row r="5" spans="1:4" x14ac:dyDescent="0.3">
      <c r="A5" s="29" t="s">
        <v>46</v>
      </c>
      <c r="B5" s="26">
        <v>1</v>
      </c>
      <c r="C5" s="27">
        <v>17305</v>
      </c>
      <c r="D5" s="28">
        <v>6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6.5</v>
      </c>
    </row>
    <row r="7" spans="1:4" x14ac:dyDescent="0.3">
      <c r="A7" s="29" t="s">
        <v>11</v>
      </c>
      <c r="B7" s="26">
        <v>7</v>
      </c>
      <c r="C7" s="27">
        <v>10726495</v>
      </c>
      <c r="D7" s="28">
        <v>5.857142857144936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9ciDTGG4LOY74Gq724nCjZ8pfpc6b745umQfZ3XSuqY52zJ3WCtA6SvOgUXtci4YIOZL7GWzWxb1uxIHYcTTpg==" saltValue="24Op0kxwgFIrHCzLMLea1g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2026-10-20T10:45:52Z</dcterms:modified>
</cp:coreProperties>
</file>