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DDDB8A6-A9D3-422F-A27A-370111BB86C2}" xr6:coauthVersionLast="47" xr6:coauthVersionMax="47" xr10:uidLastSave="{00000000-0000-0000-0000-000000000000}"/>
  <bookViews>
    <workbookView xWindow="5244" yWindow="3276" windowWidth="17280" windowHeight="8964" firstSheet="1" activeTab="4" xr2:uid="{00000000-000D-0000-FFFF-FFFF00000000}"/>
  </bookViews>
  <sheets>
    <sheet name="الشيكات" sheetId="1" r:id="rId1"/>
    <sheet name="اخر سعر شراء  وبيع" sheetId="2" r:id="rId2"/>
    <sheet name="العملاء والموردين" sheetId="3" r:id="rId3"/>
    <sheet name="الرواتب" sheetId="4" r:id="rId4"/>
    <sheet name="اجمالي متأخرات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J9" i="4"/>
  <c r="I9" i="4"/>
  <c r="F9" i="4"/>
  <c r="I8" i="4"/>
  <c r="F8" i="4"/>
  <c r="J8" i="4" s="1"/>
  <c r="I7" i="4"/>
  <c r="F7" i="4"/>
  <c r="J7" i="4" s="1"/>
  <c r="J6" i="4"/>
  <c r="I6" i="4"/>
  <c r="F6" i="4"/>
  <c r="I5" i="4"/>
  <c r="F5" i="4"/>
  <c r="J5" i="4" s="1"/>
  <c r="I4" i="4"/>
  <c r="F4" i="4"/>
  <c r="J4" i="4" s="1"/>
  <c r="I3" i="4"/>
  <c r="F3" i="4"/>
  <c r="J3" i="4" s="1"/>
  <c r="I2" i="4"/>
  <c r="J2" i="4" s="1"/>
  <c r="F2" i="4"/>
</calcChain>
</file>

<file path=xl/sharedStrings.xml><?xml version="1.0" encoding="utf-8"?>
<sst xmlns="http://schemas.openxmlformats.org/spreadsheetml/2006/main" count="185" uniqueCount="84">
  <si>
    <t>📊 إجمالي التأخيرات المستحقة لكل عميل</t>
  </si>
  <si>
    <t>الإجمالي العام</t>
  </si>
  <si>
    <t>العميل</t>
  </si>
  <si>
    <t>عدد المستحقات</t>
  </si>
  <si>
    <t>إجمالي المبلغ المستحق</t>
  </si>
  <si>
    <t>متوسط التأخير (يوم)</t>
  </si>
  <si>
    <t>فالتور</t>
  </si>
  <si>
    <t>ويكادي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</si>
  <si>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</si>
  <si>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</si>
  <si>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</si>
  <si>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</si>
  <si>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</si>
  <si>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</si>
  <si>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</si>
  <si>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NBE</t>
  </si>
  <si>
    <t>أ.ق</t>
  </si>
  <si>
    <t>⚠ شيك متأخر 31 يوم</t>
  </si>
  <si>
    <t>متبقي منه 380021</t>
  </si>
  <si>
    <t>CIB</t>
  </si>
  <si>
    <t>⚠ شيك متأخر 3 يوم</t>
  </si>
  <si>
    <t>⚠ مستحق النهاردة</t>
  </si>
  <si>
    <t>⚠ باقي 6 يوم</t>
  </si>
  <si>
    <t>خالد صبري</t>
  </si>
  <si>
    <t>⚠ باقي 9 يوم</t>
  </si>
  <si>
    <t>⚠ باقي 16 يوم</t>
  </si>
  <si>
    <t>⚠ باقي 20 يوم</t>
  </si>
  <si>
    <t>BM</t>
  </si>
  <si>
    <t>⚠ باقي 27 يوم</t>
  </si>
  <si>
    <t>⚠ باقي 30 يوم</t>
  </si>
  <si>
    <t>الشركة المتحده</t>
  </si>
  <si>
    <t>aib</t>
  </si>
  <si>
    <t>⚠ باقي 32 يوم</t>
  </si>
  <si>
    <t>⚠ باقي 36 يوم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</si>
  <si>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</si>
  <si>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</si>
  <si>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</si>
  <si>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</si>
  <si>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</si>
  <si>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</si>
  <si>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</si>
  <si>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</si>
  <si>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</si>
  <si>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اجل 60 يوم</t>
  </si>
  <si>
    <t>كاش 34% - شيك اجل 10 يوم - شيك اجل 40 يوم</t>
  </si>
  <si>
    <t>كاش 100%</t>
  </si>
  <si>
    <t>بيراميدز</t>
  </si>
  <si>
    <t>9--4</t>
  </si>
  <si>
    <t>عميل التطوير</t>
  </si>
  <si>
    <t>T-106/1</t>
  </si>
  <si>
    <t>جي دبيو</t>
  </si>
  <si>
    <t>D-105/1</t>
  </si>
  <si>
    <t>شيك اجل 60  يوم</t>
  </si>
  <si>
    <t>بينتاكون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</si>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</sst>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2</v>
      </c>
      <c r="B2" s="17" t="s">
        <v>8</v>
      </c>
      <c r="C2" s="17" t="s">
        <v>9</v>
      </c>
      <c r="D2" s="18" t="s">
        <v>10</v>
      </c>
      <c r="E2" s="17" t="s">
        <v>11</v>
      </c>
      <c r="F2" s="17" t="s">
        <v>12</v>
      </c>
      <c r="G2" s="17" t="s">
        <v>13</v>
      </c>
      <c r="H2" s="17" t="s">
        <v>14</v>
      </c>
      <c r="I2" s="17"/>
    </row>
    <row r="3" spans="1:9" x14ac:dyDescent="0.3">
      <c r="A3" s="19" t="s">
        <v>6</v>
      </c>
      <c r="B3" s="19">
        <v>307385</v>
      </c>
      <c r="C3" s="19">
        <v>2388000</v>
      </c>
      <c r="D3" s="40">
        <v>46254</v>
      </c>
      <c r="E3" s="19" t="s">
        <v>15</v>
      </c>
      <c r="F3" s="19" t="s">
        <v>16</v>
      </c>
      <c r="G3" s="19" t="s">
        <v>17</v>
      </c>
      <c r="H3" s="19" t="s">
        <v>18</v>
      </c>
      <c r="I3" s="19"/>
    </row>
    <row r="4" spans="1:9" x14ac:dyDescent="0.3">
      <c r="A4" s="19" t="s">
        <v>7</v>
      </c>
      <c r="B4" s="19">
        <v>554541873</v>
      </c>
      <c r="C4" s="19">
        <v>1556850</v>
      </c>
      <c r="D4" s="40">
        <v>46282</v>
      </c>
      <c r="E4" s="19" t="s">
        <v>19</v>
      </c>
      <c r="F4" s="19" t="s">
        <v>16</v>
      </c>
      <c r="G4" s="19" t="s">
        <v>20</v>
      </c>
      <c r="H4" s="19"/>
      <c r="I4" s="19"/>
    </row>
    <row r="5" spans="1:9" x14ac:dyDescent="0.3">
      <c r="A5" s="19" t="s">
        <v>6</v>
      </c>
      <c r="B5" s="19">
        <v>307379</v>
      </c>
      <c r="C5" s="19">
        <v>2388000</v>
      </c>
      <c r="D5" s="40">
        <v>46285</v>
      </c>
      <c r="E5" s="19" t="s">
        <v>15</v>
      </c>
      <c r="F5" s="19" t="s">
        <v>16</v>
      </c>
      <c r="G5" s="19" t="s">
        <v>21</v>
      </c>
      <c r="H5" s="19"/>
      <c r="I5" s="19"/>
    </row>
    <row r="6" spans="1:9" x14ac:dyDescent="0.3">
      <c r="A6" s="19" t="s">
        <v>6</v>
      </c>
      <c r="B6" s="19">
        <v>307383</v>
      </c>
      <c r="C6" s="19">
        <v>13300000</v>
      </c>
      <c r="D6" s="40">
        <v>46291</v>
      </c>
      <c r="E6" s="19" t="s">
        <v>15</v>
      </c>
      <c r="F6" s="19" t="s">
        <v>16</v>
      </c>
      <c r="G6" s="19" t="s">
        <v>22</v>
      </c>
      <c r="H6" s="19"/>
      <c r="I6" s="19"/>
    </row>
    <row r="7" spans="1:9" x14ac:dyDescent="0.3">
      <c r="A7" s="19" t="s">
        <v>23</v>
      </c>
      <c r="B7" s="19">
        <v>532937070</v>
      </c>
      <c r="C7" s="19">
        <v>3971430</v>
      </c>
      <c r="D7" s="40">
        <v>46294</v>
      </c>
      <c r="E7" s="19" t="s">
        <v>19</v>
      </c>
      <c r="F7" s="19" t="s">
        <v>16</v>
      </c>
      <c r="G7" s="19" t="s">
        <v>24</v>
      </c>
      <c r="H7" s="19"/>
      <c r="I7" s="19"/>
    </row>
    <row r="8" spans="1:9" x14ac:dyDescent="0.3">
      <c r="A8" s="19" t="s">
        <v>6</v>
      </c>
      <c r="B8" s="19">
        <v>307380</v>
      </c>
      <c r="C8" s="19">
        <v>7857894</v>
      </c>
      <c r="D8" s="40">
        <v>46301</v>
      </c>
      <c r="E8" s="19" t="s">
        <v>15</v>
      </c>
      <c r="F8" s="19" t="s">
        <v>16</v>
      </c>
      <c r="G8" s="19" t="s">
        <v>25</v>
      </c>
      <c r="H8" s="19"/>
      <c r="I8" s="19"/>
    </row>
    <row r="9" spans="1:9" x14ac:dyDescent="0.3">
      <c r="A9" s="19" t="s">
        <v>23</v>
      </c>
      <c r="B9" s="19">
        <v>532937100</v>
      </c>
      <c r="C9" s="19">
        <v>5043144</v>
      </c>
      <c r="D9" s="40">
        <v>46305</v>
      </c>
      <c r="E9" s="19" t="s">
        <v>19</v>
      </c>
      <c r="F9" s="19" t="s">
        <v>16</v>
      </c>
      <c r="G9" s="19" t="s">
        <v>26</v>
      </c>
      <c r="H9" s="19"/>
      <c r="I9" s="19"/>
    </row>
    <row r="10" spans="1:9" x14ac:dyDescent="0.3">
      <c r="A10" s="19" t="s">
        <v>23</v>
      </c>
      <c r="B10" s="19">
        <v>9165752</v>
      </c>
      <c r="C10" s="19">
        <v>3979312.84</v>
      </c>
      <c r="D10" s="40">
        <v>46312</v>
      </c>
      <c r="E10" s="19" t="s">
        <v>27</v>
      </c>
      <c r="F10" s="19" t="s">
        <v>16</v>
      </c>
      <c r="G10" s="19" t="s">
        <v>28</v>
      </c>
      <c r="H10" s="19"/>
      <c r="I10" s="19"/>
    </row>
    <row r="11" spans="1:9" x14ac:dyDescent="0.3">
      <c r="A11" s="19" t="s">
        <v>6</v>
      </c>
      <c r="B11" s="19">
        <v>307381</v>
      </c>
      <c r="C11" s="19">
        <v>2388000</v>
      </c>
      <c r="D11" s="40">
        <v>46315</v>
      </c>
      <c r="E11" s="19" t="s">
        <v>15</v>
      </c>
      <c r="F11" s="19" t="s">
        <v>16</v>
      </c>
      <c r="G11" s="19" t="s">
        <v>29</v>
      </c>
      <c r="H11" s="19"/>
      <c r="I11" s="19"/>
    </row>
    <row r="12" spans="1:9" x14ac:dyDescent="0.3">
      <c r="A12" s="19" t="s">
        <v>30</v>
      </c>
      <c r="B12" s="19">
        <v>2798976</v>
      </c>
      <c r="C12" s="19">
        <v>17745354</v>
      </c>
      <c r="D12" s="40">
        <v>46317</v>
      </c>
      <c r="E12" s="19" t="s">
        <v>31</v>
      </c>
      <c r="F12" s="19" t="s">
        <v>16</v>
      </c>
      <c r="G12" s="19" t="s">
        <v>32</v>
      </c>
      <c r="H12" s="19"/>
      <c r="I12" s="19"/>
    </row>
    <row r="13" spans="1:9" x14ac:dyDescent="0.3">
      <c r="A13" s="19" t="s">
        <v>6</v>
      </c>
      <c r="B13" s="19">
        <v>307384</v>
      </c>
      <c r="C13" s="19">
        <v>13300000</v>
      </c>
      <c r="D13" s="40">
        <v>46321</v>
      </c>
      <c r="E13" s="19" t="s">
        <v>15</v>
      </c>
      <c r="F13" s="19" t="s">
        <v>16</v>
      </c>
      <c r="G13" s="19" t="s">
        <v>33</v>
      </c>
      <c r="H13" s="19"/>
      <c r="I13" s="19"/>
    </row>
    <row r="14" spans="1:9" x14ac:dyDescent="0.3">
      <c r="A14" s="19" t="s">
        <v>34</v>
      </c>
      <c r="B14" s="19">
        <v>13249953</v>
      </c>
      <c r="C14" s="19">
        <v>7167694.6299999999</v>
      </c>
      <c r="D14" s="40">
        <v>46321</v>
      </c>
      <c r="E14" s="19" t="s">
        <v>15</v>
      </c>
      <c r="F14" s="19" t="s">
        <v>16</v>
      </c>
      <c r="G14" s="19" t="s">
        <v>33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H23"/>
  <sheetViews>
    <sheetView rightToLeft="1" workbookViewId="0">
      <selection activeCell="E6" sqref="E6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8" x14ac:dyDescent="0.3">
      <c r="A2" s="19" t="s">
        <v>35</v>
      </c>
      <c r="B2" s="33" t="s">
        <v>36</v>
      </c>
      <c r="C2" s="33" t="s">
        <v>37</v>
      </c>
      <c r="D2" s="19" t="s">
        <v>38</v>
      </c>
      <c r="E2" s="19" t="s">
        <v>39</v>
      </c>
      <c r="F2" s="19" t="s">
        <v>40</v>
      </c>
      <c r="G2" s="19" t="s">
        <v>41</v>
      </c>
      <c r="H2" s="19" t="s">
        <v>42</v>
      </c>
    </row>
    <row r="3" spans="1:8" x14ac:dyDescent="0.3">
      <c r="A3" s="19" t="s">
        <v>23</v>
      </c>
      <c r="B3" s="33">
        <v>39500</v>
      </c>
      <c r="C3" s="33">
        <v>40600</v>
      </c>
      <c r="D3" s="19">
        <v>41</v>
      </c>
      <c r="E3" s="19" t="s">
        <v>43</v>
      </c>
      <c r="F3" s="40">
        <v>46251</v>
      </c>
    </row>
    <row r="4" spans="1:8" x14ac:dyDescent="0.3">
      <c r="A4" s="19" t="s">
        <v>34</v>
      </c>
      <c r="B4" s="33">
        <v>40000</v>
      </c>
      <c r="C4" s="33">
        <v>41000</v>
      </c>
      <c r="D4" s="19">
        <v>44</v>
      </c>
      <c r="E4" s="19" t="s">
        <v>43</v>
      </c>
      <c r="F4" s="40">
        <v>46268</v>
      </c>
    </row>
    <row r="5" spans="1:8" x14ac:dyDescent="0.3">
      <c r="A5" s="19" t="s">
        <v>6</v>
      </c>
      <c r="B5" s="33">
        <v>39000</v>
      </c>
      <c r="C5" s="33">
        <v>39600</v>
      </c>
      <c r="D5" s="19">
        <v>46</v>
      </c>
      <c r="E5" s="19" t="s">
        <v>44</v>
      </c>
      <c r="F5" s="40">
        <v>46281</v>
      </c>
    </row>
    <row r="6" spans="1:8" x14ac:dyDescent="0.3">
      <c r="A6" s="19" t="s">
        <v>7</v>
      </c>
      <c r="B6" s="33">
        <v>38100</v>
      </c>
      <c r="C6" s="33">
        <v>38150</v>
      </c>
      <c r="D6" s="19">
        <v>48</v>
      </c>
      <c r="E6" s="19" t="s">
        <v>45</v>
      </c>
      <c r="F6" s="40">
        <v>46284</v>
      </c>
    </row>
    <row r="7" spans="1:8" x14ac:dyDescent="0.3">
      <c r="A7" s="19" t="s">
        <v>46</v>
      </c>
      <c r="B7" s="33">
        <v>37500</v>
      </c>
      <c r="C7" s="33">
        <v>37600</v>
      </c>
      <c r="D7" s="19" t="s">
        <v>47</v>
      </c>
      <c r="E7" s="19" t="s">
        <v>45</v>
      </c>
      <c r="F7" s="40">
        <v>46221</v>
      </c>
    </row>
    <row r="8" spans="1:8" hidden="1" x14ac:dyDescent="0.3">
      <c r="A8" s="19" t="s">
        <v>48</v>
      </c>
      <c r="B8" s="33"/>
      <c r="C8" s="33"/>
      <c r="D8" s="19" t="s">
        <v>49</v>
      </c>
      <c r="E8" s="19"/>
      <c r="F8" s="40"/>
    </row>
    <row r="9" spans="1:8" x14ac:dyDescent="0.3">
      <c r="A9" s="19" t="s">
        <v>50</v>
      </c>
      <c r="B9" s="33">
        <v>37800</v>
      </c>
      <c r="C9" s="33">
        <v>39250</v>
      </c>
      <c r="D9" s="19" t="s">
        <v>51</v>
      </c>
      <c r="E9" s="19" t="s">
        <v>52</v>
      </c>
      <c r="F9" s="40">
        <v>46224</v>
      </c>
    </row>
    <row r="10" spans="1:8" x14ac:dyDescent="0.3">
      <c r="A10" s="19" t="s">
        <v>53</v>
      </c>
      <c r="B10" s="33">
        <v>39500</v>
      </c>
      <c r="C10" s="33">
        <v>40500</v>
      </c>
      <c r="D10" s="19">
        <v>39</v>
      </c>
      <c r="E10" s="19" t="s">
        <v>43</v>
      </c>
      <c r="F10" s="40">
        <v>46250</v>
      </c>
    </row>
    <row r="11" spans="1:8" x14ac:dyDescent="0.3">
      <c r="A11" s="19" t="s">
        <v>30</v>
      </c>
      <c r="B11" s="33">
        <v>39750</v>
      </c>
      <c r="C11" s="33">
        <v>40050</v>
      </c>
      <c r="D11" s="19">
        <v>43</v>
      </c>
      <c r="E11" s="19" t="s">
        <v>43</v>
      </c>
      <c r="F11" s="40">
        <v>46256</v>
      </c>
    </row>
    <row r="12" spans="1:8" x14ac:dyDescent="0.3">
      <c r="A12" s="19"/>
      <c r="B12" s="33"/>
      <c r="C12" s="33"/>
      <c r="D12" s="19"/>
      <c r="E12" s="19"/>
      <c r="F12" s="19"/>
    </row>
    <row r="13" spans="1:8" x14ac:dyDescent="0.3">
      <c r="A13" s="19"/>
      <c r="B13" s="33"/>
      <c r="C13" s="33"/>
      <c r="D13" s="19"/>
      <c r="E13" s="19"/>
      <c r="F13" s="19"/>
    </row>
    <row r="14" spans="1:8" x14ac:dyDescent="0.3">
      <c r="A14" s="19"/>
      <c r="B14" s="33"/>
      <c r="C14" s="33"/>
      <c r="D14" s="19"/>
      <c r="E14" s="19"/>
      <c r="F14" s="19"/>
    </row>
    <row r="15" spans="1:8" x14ac:dyDescent="0.3">
      <c r="A15" s="19"/>
      <c r="B15" s="33"/>
      <c r="C15" s="33"/>
      <c r="D15" s="19"/>
      <c r="E15" s="19"/>
      <c r="F15" s="19"/>
    </row>
    <row r="16" spans="1:8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7" t="s">
        <v>54</v>
      </c>
      <c r="B1" s="36"/>
      <c r="C1" s="36"/>
      <c r="I1" s="37" t="s">
        <v>55</v>
      </c>
      <c r="J1" s="36"/>
      <c r="K1" s="36"/>
    </row>
    <row r="2" spans="1:11" x14ac:dyDescent="0.3">
      <c r="A2" s="2" t="s">
        <v>56</v>
      </c>
      <c r="B2" s="38">
        <f>SUM(B4:B3000)-SUM(C4:C3000)</f>
        <v>86814805.734912291</v>
      </c>
      <c r="C2" s="39"/>
      <c r="I2" s="3" t="s">
        <v>56</v>
      </c>
      <c r="J2" s="38">
        <f>SUM(J4:J3000)-SUM(K4:K3000)</f>
        <v>-88986791.5</v>
      </c>
      <c r="K2" s="39"/>
    </row>
    <row r="3" spans="1:11" ht="18" customHeight="1" x14ac:dyDescent="0.35">
      <c r="A3" s="4" t="s">
        <v>35</v>
      </c>
      <c r="B3" s="5" t="s">
        <v>57</v>
      </c>
      <c r="C3" s="5" t="s">
        <v>58</v>
      </c>
      <c r="I3" s="4" t="s">
        <v>59</v>
      </c>
      <c r="J3" s="5" t="s">
        <v>57</v>
      </c>
      <c r="K3" s="5" t="s">
        <v>58</v>
      </c>
    </row>
    <row r="4" spans="1:11" ht="18" customHeight="1" x14ac:dyDescent="0.35">
      <c r="A4" s="6" t="s">
        <v>23</v>
      </c>
      <c r="B4" s="7">
        <v>12993887.403508775</v>
      </c>
      <c r="C4" s="7">
        <v>0</v>
      </c>
      <c r="I4" s="6" t="s">
        <v>60</v>
      </c>
      <c r="J4" s="7">
        <v>0</v>
      </c>
      <c r="K4" s="7">
        <v>88986791.5</v>
      </c>
    </row>
    <row r="5" spans="1:11" ht="18" customHeight="1" x14ac:dyDescent="0.35">
      <c r="A5" s="6" t="s">
        <v>34</v>
      </c>
      <c r="B5" s="7">
        <v>7031957.1428070199</v>
      </c>
      <c r="C5" s="7">
        <v>0</v>
      </c>
    </row>
    <row r="6" spans="1:11" ht="18" customHeight="1" x14ac:dyDescent="0.35">
      <c r="A6" s="6" t="s">
        <v>6</v>
      </c>
      <c r="B6" s="7">
        <v>39527797.250000007</v>
      </c>
      <c r="C6" s="7">
        <v>0</v>
      </c>
    </row>
    <row r="7" spans="1:11" ht="18" customHeight="1" x14ac:dyDescent="0.35">
      <c r="A7" s="6" t="s">
        <v>7</v>
      </c>
      <c r="B7" s="7">
        <v>7533524</v>
      </c>
      <c r="C7" s="7">
        <v>0</v>
      </c>
    </row>
    <row r="8" spans="1:11" ht="18" customHeight="1" x14ac:dyDescent="0.35">
      <c r="A8" s="6" t="s">
        <v>53</v>
      </c>
      <c r="B8" s="7">
        <v>2017305.0000000005</v>
      </c>
      <c r="C8" s="7">
        <v>0</v>
      </c>
    </row>
    <row r="9" spans="1:11" ht="18" customHeight="1" x14ac:dyDescent="0.35">
      <c r="A9" s="6" t="s">
        <v>50</v>
      </c>
      <c r="B9" s="7">
        <v>0</v>
      </c>
      <c r="C9" s="7">
        <v>35015.061403508531</v>
      </c>
    </row>
    <row r="10" spans="1:11" ht="18" customHeight="1" x14ac:dyDescent="0.35">
      <c r="A10" s="6" t="s">
        <v>46</v>
      </c>
      <c r="B10" s="7">
        <v>0</v>
      </c>
      <c r="C10" s="7">
        <v>4</v>
      </c>
    </row>
    <row r="11" spans="1:11" ht="18" customHeight="1" x14ac:dyDescent="0.35">
      <c r="A11" s="6" t="s">
        <v>30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61</v>
      </c>
      <c r="B1" s="10" t="s">
        <v>62</v>
      </c>
      <c r="C1" s="10" t="s">
        <v>63</v>
      </c>
      <c r="D1" s="10" t="s">
        <v>64</v>
      </c>
      <c r="E1" s="10" t="s">
        <v>65</v>
      </c>
      <c r="F1" s="10" t="s">
        <v>66</v>
      </c>
      <c r="G1" s="11" t="s">
        <v>67</v>
      </c>
      <c r="H1" s="11" t="s">
        <v>68</v>
      </c>
      <c r="I1" s="11" t="s">
        <v>69</v>
      </c>
      <c r="J1" s="12" t="s">
        <v>70</v>
      </c>
      <c r="K1" s="10" t="s">
        <v>71</v>
      </c>
      <c r="L1" s="10" t="s">
        <v>72</v>
      </c>
    </row>
    <row r="2" spans="1:12" ht="15" customHeight="1" thickBot="1" x14ac:dyDescent="0.35">
      <c r="A2" s="13" t="s">
        <v>73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74</v>
      </c>
      <c r="L2" s="15">
        <v>2026</v>
      </c>
    </row>
    <row r="3" spans="1:12" ht="15" customHeight="1" thickBot="1" x14ac:dyDescent="0.35">
      <c r="A3" s="13" t="s">
        <v>75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74</v>
      </c>
      <c r="L3" s="15">
        <v>2026</v>
      </c>
    </row>
    <row r="4" spans="1:12" ht="15" customHeight="1" thickBot="1" x14ac:dyDescent="0.35">
      <c r="A4" s="13" t="s">
        <v>76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74</v>
      </c>
      <c r="L4" s="15">
        <v>2026</v>
      </c>
    </row>
    <row r="5" spans="1:12" ht="15" customHeight="1" thickBot="1" x14ac:dyDescent="0.35">
      <c r="A5" s="13" t="s">
        <v>77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74</v>
      </c>
      <c r="L5" s="15">
        <v>2026</v>
      </c>
    </row>
    <row r="6" spans="1:12" ht="15" customHeight="1" thickBot="1" x14ac:dyDescent="0.35">
      <c r="A6" s="13" t="s">
        <v>78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74</v>
      </c>
      <c r="L6" s="15">
        <v>2026</v>
      </c>
    </row>
    <row r="7" spans="1:12" ht="15" customHeight="1" thickBot="1" x14ac:dyDescent="0.35">
      <c r="A7" s="13" t="s">
        <v>79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74</v>
      </c>
      <c r="L7" s="15">
        <v>2026</v>
      </c>
    </row>
    <row r="8" spans="1:12" ht="15" customHeight="1" thickBot="1" x14ac:dyDescent="0.35">
      <c r="A8" s="13" t="s">
        <v>80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74</v>
      </c>
      <c r="L8" s="15">
        <v>2026</v>
      </c>
    </row>
    <row r="9" spans="1:12" ht="15" customHeight="1" thickBot="1" x14ac:dyDescent="0.35">
      <c r="A9" s="13" t="s">
        <v>81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82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35" t="s">
        <v>0</v>
      </c>
      <c r="B1" s="35"/>
      <c r="C1" s="35"/>
      <c r="D1" s="35"/>
    </row>
    <row r="2" spans="1:4" x14ac:dyDescent="0.3">
      <c r="A2" s="21" t="s">
        <v>1</v>
      </c>
      <c r="B2" s="22">
        <v>5</v>
      </c>
      <c r="C2" s="23">
        <v>6860348.5</v>
      </c>
      <c r="D2" s="24">
        <v>8.1999999999999993</v>
      </c>
    </row>
    <row r="3" spans="1:4" x14ac:dyDescent="0.3">
      <c r="A3" s="25" t="s">
        <v>2</v>
      </c>
      <c r="B3" s="25" t="s">
        <v>3</v>
      </c>
      <c r="C3" s="25" t="s">
        <v>4</v>
      </c>
      <c r="D3" s="25" t="s">
        <v>5</v>
      </c>
    </row>
    <row r="4" spans="1:4" x14ac:dyDescent="0.3">
      <c r="A4" s="26" t="s">
        <v>6</v>
      </c>
      <c r="B4" s="27">
        <v>2</v>
      </c>
      <c r="C4" s="28">
        <v>2760042.5</v>
      </c>
      <c r="D4" s="29">
        <v>16.5</v>
      </c>
    </row>
    <row r="5" spans="1:4" x14ac:dyDescent="0.3">
      <c r="A5" s="30" t="s">
        <v>7</v>
      </c>
      <c r="B5" s="27">
        <v>3</v>
      </c>
      <c r="C5" s="28">
        <v>4100306</v>
      </c>
      <c r="D5" s="29">
        <v>2.666666666666667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DnFXJex/fsVIkfzmHcVLX/urgbEhAy5eEFtMt8hOAkNSOKJ6bzTdSis6IICEaZ4wt5pI7eCDzWJFyMwxFA+n5A==" saltValue="Ir/jSitSmrCTRO25S2o6K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2026-09-20T13:01:44Z</dcterms:modified>
</cp:coreProperties>
</file>