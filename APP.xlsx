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D99FFA54-D725-46A6-AE17-2CC24FA4F05D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<sst xmlns="http://schemas.openxmlformats.org/spreadsheetml/2006/main" count="891" uniqueCount="144">
  <si>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</si>
  <si>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</si>
  <si>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</si>
  <si>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</si>
  <si>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</si>
  <si>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</si>
  <si>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</si>
  <si>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</si>
  <si>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</si>
  <si>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</si>
  <si>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</si>
  <si>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</si>
  <si>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</si>
  <si>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</si>
  <si>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</si>
  <si>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</si>
  <si>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</si>
  <si>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</si>
  <si>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</si>
  <si>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</si>
  <si>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</si>
  <si>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</si>
  <si>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</si>
  <si>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</si>
  <si>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</si>
  <si>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</si>
  <si>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</si>
  <si>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</si>
  <si>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</si>
  <si>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</si>
  <si>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</si>
  <si>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</si>
  <si>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</si>
  <si>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</si>
  <si>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</si>
  <si>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</si>
  <si>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</si>
  <si>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</si>
  <si>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</si>
  <si>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</si>
  <si>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</si>
  <si>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</si>
  <si>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</si>
  <si>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</si>
  <si>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</si>
  <si>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</si>
  <si>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</si>
  <si>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</si>
  <si>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</si>
  <si>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</si>
  <si>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</si>
  <si>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</si>
  <si>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</si>
  <si>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</si>
  <si>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</si>
  <si>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</si>
  <si>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</si>
  <si>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</si>
  <si>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</si>
  <si>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</si>
  <si>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</si>
  <si>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</si>
  <si>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</si>
  <si>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</si>
  <si>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</si>
  <si>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</si>
  <si>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</si>
  <si>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</si>
  <si>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</si>
  <si>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</si>
  <si>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</si>
  <si>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</si>
  <si>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</si>
  <si>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</si>
  <si>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</si>
  <si>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</si>
  <si>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</si>
  <si>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</si>
  <si>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</si>
  <si>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</si>
  <si>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</si>
  <si>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</si>
  <si>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</si>
  <si>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</si>
  <si>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</si>
  <si>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</si>
  <si>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</si>
  <si>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</si>
  <si>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</si>
  <si>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</si>
  <si>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</si>
  <si>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</si>
  <si>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</si>
  <si>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</si>
  <si>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</si>
  <si>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</si>
  <si>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</si>
  <si>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</si>
  <si>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</si>
  <si>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</si>
  <si>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</si>
  <si>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</si>
  <si>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</si>
  <si>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</si>
  <si>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</si>
  <si>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</si>
  <si>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</si>
  <si>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</si>
  <si>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</si>
  <si>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</si>
  <si>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</si>
  <si>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كامل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</si>
  <si>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</si>
  <si>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</si>
  <si>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</si>
  <si>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</si>
  <si>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</si>
  <si>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14 يوم</t>
  </si>
  <si>
    <t>⚠ باقي 15 يوم</t>
  </si>
  <si>
    <t>⚠ باقي 45 يوم</t>
  </si>
  <si>
    <t>🔔 متبقي 5 أيام</t>
  </si>
  <si>
    <t>⚠ شيك متأخر 21 يوم</t>
  </si>
  <si>
    <t>⚠ شيك متأخر 15 يوم</t>
  </si>
  <si>
    <t>⚠ باقي 6 يوم</t>
  </si>
  <si>
    <t>⚠ باقي 9 يوم</t>
  </si>
  <si>
    <t>⚠ باقي 11 يوم</t>
  </si>
  <si>
    <t>⚠ باقي 13 يوم</t>
  </si>
  <si>
    <t>⚠ باقي 17 يوم</t>
  </si>
  <si>
    <t>⚠ باقي 44 يوم</t>
  </si>
  <si>
    <t>⚠ باقي 48 يوم</t>
  </si>
  <si>
    <t>⚠ باقي 19 يوم</t>
  </si>
  <si>
    <t>🔔 قريب الاستحقاق
29,055,211</t>
  </si>
  <si>
    <t>53 يوم</t>
  </si>
  <si>
    <t>47 يوم</t>
  </si>
  <si>
    <t>6 أيام</t>
  </si>
  <si>
    <t>4 أيام</t>
  </si>
  <si>
    <t>🔔 متبقي 4 أيام</t>
  </si>
  <si>
    <t>كاش 40% - 30% شيك اجل 45 يوم - 30% شيك اجل 75 يوم</t>
  </si>
  <si>
    <t>🟢 جارٍ
39,193,792</t>
  </si>
  <si>
    <t>3 أيام</t>
  </si>
  <si>
    <t>يوم واحد</t>
  </si>
  <si>
    <t>⚠ متأخر
36,421,222</t>
  </si>
  <si>
    <t>✅ مسدّد
137,423,040</t>
  </si>
  <si>
    <t>متبقي منه ٤,٩٣٧,٨٩٤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</si>
</sst>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36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73">
        <v>46285</v>
      </c>
      <c r="E3" s="19" t="s">
        <v>9</v>
      </c>
      <c r="F3" s="19" t="s">
        <v>10</v>
      </c>
      <c r="G3" s="19" t="s">
        <v>121</v>
      </c>
      <c r="H3" s="19" t="s">
        <v>111</v>
      </c>
      <c r="I3" s="19"/>
    </row>
    <row r="4" spans="1:9" x14ac:dyDescent="0.3">
      <c r="A4" s="19" t="s">
        <v>8</v>
      </c>
      <c r="B4" s="19">
        <v>307383</v>
      </c>
      <c r="C4" s="19">
        <v>13300000</v>
      </c>
      <c r="D4" s="73">
        <v>46291</v>
      </c>
      <c r="E4" s="19" t="s">
        <v>9</v>
      </c>
      <c r="F4" s="19" t="s">
        <v>10</v>
      </c>
      <c r="G4" s="19" t="s">
        <v>122</v>
      </c>
      <c r="H4" s="19" t="s">
        <v>143</v>
      </c>
      <c r="I4" s="19"/>
    </row>
    <row r="5" spans="1:9" x14ac:dyDescent="0.3">
      <c r="A5" s="19" t="s">
        <v>13</v>
      </c>
      <c r="B5" s="19">
        <v>9165752</v>
      </c>
      <c r="C5" s="19">
        <v>3979312.84</v>
      </c>
      <c r="D5" s="73">
        <v>46312</v>
      </c>
      <c r="E5" s="19" t="s">
        <v>14</v>
      </c>
      <c r="F5" s="19" t="s">
        <v>10</v>
      </c>
      <c r="G5" s="19" t="s">
        <v>123</v>
      </c>
      <c r="H5" s="19"/>
      <c r="I5" s="19"/>
    </row>
    <row r="6" spans="1:9" x14ac:dyDescent="0.3">
      <c r="A6" s="19" t="s">
        <v>8</v>
      </c>
      <c r="B6" s="19">
        <v>307381</v>
      </c>
      <c r="C6" s="19">
        <v>2388000</v>
      </c>
      <c r="D6" s="73">
        <v>46315</v>
      </c>
      <c r="E6" s="19" t="s">
        <v>9</v>
      </c>
      <c r="F6" s="19" t="s">
        <v>10</v>
      </c>
      <c r="G6" s="19" t="s">
        <v>124</v>
      </c>
      <c r="H6" s="19"/>
      <c r="I6" s="19"/>
    </row>
    <row r="7" spans="1:9" x14ac:dyDescent="0.3">
      <c r="A7" s="19" t="s">
        <v>15</v>
      </c>
      <c r="B7" s="19">
        <v>2798976</v>
      </c>
      <c r="C7" s="19">
        <v>17745354</v>
      </c>
      <c r="D7" s="73">
        <v>46317</v>
      </c>
      <c r="E7" s="19" t="s">
        <v>16</v>
      </c>
      <c r="F7" s="19" t="s">
        <v>10</v>
      </c>
      <c r="G7" s="19" t="s">
        <v>125</v>
      </c>
      <c r="H7" s="19"/>
      <c r="I7" s="19"/>
    </row>
    <row r="8" spans="1:9" x14ac:dyDescent="0.3">
      <c r="A8" s="19" t="s">
        <v>8</v>
      </c>
      <c r="B8" s="19">
        <v>307384</v>
      </c>
      <c r="C8" s="19">
        <v>13300000</v>
      </c>
      <c r="D8" s="73">
        <v>46321</v>
      </c>
      <c r="E8" s="19" t="s">
        <v>9</v>
      </c>
      <c r="F8" s="19" t="s">
        <v>10</v>
      </c>
      <c r="G8" s="19" t="s">
        <v>118</v>
      </c>
      <c r="H8" s="19"/>
      <c r="I8" s="19"/>
    </row>
    <row r="9" spans="1:9" x14ac:dyDescent="0.3">
      <c r="A9" s="19" t="s">
        <v>17</v>
      </c>
      <c r="B9" s="19">
        <v>13249953</v>
      </c>
      <c r="C9" s="19">
        <v>7167694.6299999999</v>
      </c>
      <c r="D9" s="73">
        <v>46321</v>
      </c>
      <c r="E9" s="19" t="s">
        <v>9</v>
      </c>
      <c r="F9" s="19" t="s">
        <v>10</v>
      </c>
      <c r="G9" s="19" t="s">
        <v>118</v>
      </c>
      <c r="H9" s="19"/>
      <c r="I9" s="19"/>
    </row>
    <row r="10" spans="1:9" x14ac:dyDescent="0.3">
      <c r="A10" s="19" t="s">
        <v>11</v>
      </c>
      <c r="B10" s="19">
        <v>551298792</v>
      </c>
      <c r="C10" s="19">
        <v>3433000</v>
      </c>
      <c r="D10" s="73">
        <v>46315</v>
      </c>
      <c r="E10" s="19" t="s">
        <v>12</v>
      </c>
      <c r="F10" s="19" t="s">
        <v>10</v>
      </c>
      <c r="G10" s="19" t="s">
        <v>124</v>
      </c>
      <c r="H10" s="19"/>
      <c r="I10" s="19"/>
    </row>
    <row r="11" spans="1:9" x14ac:dyDescent="0.3">
      <c r="A11" s="19" t="s">
        <v>11</v>
      </c>
      <c r="B11" s="19">
        <v>552585548</v>
      </c>
      <c r="C11" s="19">
        <v>805700</v>
      </c>
      <c r="D11" s="73">
        <v>46319</v>
      </c>
      <c r="E11" s="19" t="s">
        <v>12</v>
      </c>
      <c r="F11" s="19" t="s">
        <v>10</v>
      </c>
      <c r="G11" s="19" t="s">
        <v>126</v>
      </c>
      <c r="H11" s="19"/>
      <c r="I11" s="19"/>
    </row>
    <row r="12" spans="1:9" x14ac:dyDescent="0.3">
      <c r="A12" s="19" t="s">
        <v>11</v>
      </c>
      <c r="B12" s="19">
        <v>67491042</v>
      </c>
      <c r="C12" s="19">
        <v>304550</v>
      </c>
      <c r="D12" s="73">
        <v>46320</v>
      </c>
      <c r="E12" s="19" t="s">
        <v>109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532070</v>
      </c>
      <c r="C13" s="19">
        <v>1500000</v>
      </c>
      <c r="D13" s="73">
        <v>46323</v>
      </c>
      <c r="E13" s="19" t="s">
        <v>110</v>
      </c>
      <c r="F13" s="19" t="s">
        <v>10</v>
      </c>
      <c r="G13" s="19" t="s">
        <v>127</v>
      </c>
      <c r="H13" s="19"/>
      <c r="I13" s="19"/>
    </row>
    <row r="14" spans="1:9" x14ac:dyDescent="0.3">
      <c r="A14" s="19" t="s">
        <v>11</v>
      </c>
      <c r="B14" s="19">
        <v>552585549</v>
      </c>
      <c r="C14" s="19">
        <v>805700</v>
      </c>
      <c r="D14" s="73">
        <v>46350</v>
      </c>
      <c r="E14" s="19" t="s">
        <v>12</v>
      </c>
      <c r="F14" s="19" t="s">
        <v>10</v>
      </c>
      <c r="G14" s="19" t="s">
        <v>128</v>
      </c>
      <c r="H14" s="19"/>
      <c r="I14" s="19"/>
    </row>
    <row r="15" spans="1:9" x14ac:dyDescent="0.3">
      <c r="A15" s="19" t="s">
        <v>11</v>
      </c>
      <c r="B15" s="19">
        <v>67491043</v>
      </c>
      <c r="C15" s="19">
        <v>304550</v>
      </c>
      <c r="D15" s="73">
        <v>46351</v>
      </c>
      <c r="E15" s="19" t="s">
        <v>109</v>
      </c>
      <c r="F15" s="19" t="s">
        <v>10</v>
      </c>
      <c r="G15" s="19" t="s">
        <v>119</v>
      </c>
      <c r="H15" s="19"/>
      <c r="I15" s="19"/>
    </row>
    <row r="16" spans="1:9" x14ac:dyDescent="0.3">
      <c r="A16" s="19" t="s">
        <v>11</v>
      </c>
      <c r="B16" s="19">
        <v>551695622</v>
      </c>
      <c r="C16" s="19">
        <v>855540</v>
      </c>
      <c r="D16" s="73">
        <v>46354</v>
      </c>
      <c r="E16" s="19" t="s">
        <v>12</v>
      </c>
      <c r="F16" s="19" t="s">
        <v>10</v>
      </c>
      <c r="G16" s="19" t="s">
        <v>129</v>
      </c>
      <c r="H16" s="19"/>
      <c r="I16" s="19"/>
    </row>
    <row r="17" spans="1:9" x14ac:dyDescent="0.3">
      <c r="A17" s="19" t="s">
        <v>112</v>
      </c>
      <c r="B17" s="19">
        <v>74668</v>
      </c>
      <c r="C17" s="19">
        <v>1400000</v>
      </c>
      <c r="D17" s="73">
        <v>46325</v>
      </c>
      <c r="E17" s="19" t="s">
        <v>9</v>
      </c>
      <c r="F17" s="19" t="s">
        <v>10</v>
      </c>
      <c r="G17" s="19" t="s">
        <v>130</v>
      </c>
      <c r="H17" s="19"/>
      <c r="I17" s="19"/>
    </row>
    <row r="18" spans="1:9" x14ac:dyDescent="0.3">
      <c r="A18" s="19" t="s">
        <v>112</v>
      </c>
      <c r="B18" s="19">
        <v>74669</v>
      </c>
      <c r="C18" s="19">
        <v>1200000</v>
      </c>
      <c r="D18" s="73">
        <v>46325</v>
      </c>
      <c r="E18" s="19" t="s">
        <v>9</v>
      </c>
      <c r="F18" s="19" t="s">
        <v>10</v>
      </c>
      <c r="G18" s="19" t="s">
        <v>130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59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73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73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73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73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73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73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73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73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73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73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73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73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73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73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73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73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73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73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73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73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73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74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74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74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74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74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74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74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74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74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74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74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73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73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73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73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73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73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73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73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73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73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73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73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73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73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73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73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73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73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73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73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73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73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73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73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73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73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73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73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73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73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73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73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73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73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73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73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73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73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73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73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73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73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73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73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73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73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73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73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73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73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73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73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73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73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73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73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73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73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73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73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73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73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73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73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73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73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73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73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73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73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73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73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73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73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73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73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73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73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73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73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73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73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73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73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73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73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73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73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73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73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73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73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73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73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73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73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73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73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73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73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73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73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73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73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73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73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73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73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73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73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73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73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73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73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73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73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73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73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73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73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73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73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73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73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73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73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73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73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73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73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73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73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73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73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73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73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73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73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73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73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73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73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73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73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73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73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73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73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73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73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73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73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73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73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73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73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73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73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73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73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73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73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73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73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73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73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73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73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73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73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73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73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73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73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73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73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73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73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116</v>
      </c>
      <c r="F213" s="73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116</v>
      </c>
      <c r="F214" s="73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116</v>
      </c>
      <c r="F215" s="73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116</v>
      </c>
      <c r="F216" s="73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116</v>
      </c>
      <c r="F217" s="73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116</v>
      </c>
      <c r="F218" s="73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116</v>
      </c>
      <c r="F219" s="73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116</v>
      </c>
      <c r="F220" s="73">
        <v>46292</v>
      </c>
      <c r="G220" s="34">
        <v>1023445</v>
      </c>
      <c r="H220" s="34">
        <v>1070083</v>
      </c>
    </row>
    <row r="221" spans="1:8" x14ac:dyDescent="0.3">
      <c r="A221" s="19" t="s">
        <v>112</v>
      </c>
      <c r="B221" s="32">
        <v>38000</v>
      </c>
      <c r="C221" s="32">
        <v>40000</v>
      </c>
      <c r="D221" s="31">
        <v>52</v>
      </c>
      <c r="E221" s="19" t="s">
        <v>113</v>
      </c>
      <c r="F221" s="73">
        <v>46297</v>
      </c>
      <c r="G221" s="34">
        <v>639920</v>
      </c>
      <c r="H221" s="34">
        <v>673600</v>
      </c>
    </row>
    <row r="222" spans="1:8" x14ac:dyDescent="0.3">
      <c r="A222" s="19" t="s">
        <v>112</v>
      </c>
      <c r="B222" s="32">
        <v>38000</v>
      </c>
      <c r="C222" s="32">
        <v>40000</v>
      </c>
      <c r="D222" s="31">
        <v>52</v>
      </c>
      <c r="E222" s="19" t="s">
        <v>113</v>
      </c>
      <c r="F222" s="73">
        <v>46297</v>
      </c>
      <c r="G222" s="34">
        <v>4018120.0000000005</v>
      </c>
      <c r="H222" s="34">
        <v>4229600</v>
      </c>
    </row>
    <row r="223" spans="1:8" x14ac:dyDescent="0.3">
      <c r="A223" s="19" t="s">
        <v>112</v>
      </c>
      <c r="B223" s="32">
        <v>38000</v>
      </c>
      <c r="C223" s="32">
        <v>40000</v>
      </c>
      <c r="D223" s="31">
        <v>52</v>
      </c>
      <c r="E223" s="19" t="s">
        <v>113</v>
      </c>
      <c r="F223" s="73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112</v>
      </c>
      <c r="B224" s="32">
        <v>38000</v>
      </c>
      <c r="C224" s="32">
        <v>40000</v>
      </c>
      <c r="D224" s="31">
        <v>52</v>
      </c>
      <c r="E224" s="19" t="s">
        <v>113</v>
      </c>
      <c r="F224" s="73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41700</v>
      </c>
      <c r="D225" s="31">
        <v>53</v>
      </c>
      <c r="E225" s="19" t="s">
        <v>115</v>
      </c>
      <c r="F225" s="73">
        <v>46303</v>
      </c>
      <c r="G225" s="34">
        <v>79831</v>
      </c>
      <c r="H225" s="34">
        <v>80898</v>
      </c>
    </row>
    <row r="226" spans="1:8" x14ac:dyDescent="0.3">
      <c r="A226" s="19" t="s">
        <v>11</v>
      </c>
      <c r="B226" s="32">
        <v>41150</v>
      </c>
      <c r="C226" s="32">
        <v>41700</v>
      </c>
      <c r="D226" s="31">
        <v>53</v>
      </c>
      <c r="E226" s="19" t="s">
        <v>115</v>
      </c>
      <c r="F226" s="73">
        <v>46303</v>
      </c>
      <c r="G226" s="34">
        <v>79831</v>
      </c>
      <c r="H226" s="34">
        <v>80898</v>
      </c>
    </row>
    <row r="227" spans="1:8" x14ac:dyDescent="0.3">
      <c r="A227" s="19" t="s">
        <v>11</v>
      </c>
      <c r="B227" s="32">
        <v>41150</v>
      </c>
      <c r="C227" s="32">
        <v>41700</v>
      </c>
      <c r="D227" s="31">
        <v>53</v>
      </c>
      <c r="E227" s="19" t="s">
        <v>115</v>
      </c>
      <c r="F227" s="73">
        <v>46303</v>
      </c>
      <c r="G227" s="34">
        <v>242785.00000000003</v>
      </c>
      <c r="H227" s="34">
        <v>246030.00000000003</v>
      </c>
    </row>
    <row r="228" spans="1:8" x14ac:dyDescent="0.3">
      <c r="A228" s="19" t="s">
        <v>11</v>
      </c>
      <c r="B228" s="32">
        <v>41150</v>
      </c>
      <c r="C228" s="32">
        <v>41700</v>
      </c>
      <c r="D228" s="31">
        <v>53</v>
      </c>
      <c r="E228" s="19" t="s">
        <v>115</v>
      </c>
      <c r="F228" s="73">
        <v>46303</v>
      </c>
      <c r="G228" s="34">
        <v>783496</v>
      </c>
      <c r="H228" s="34">
        <v>793968</v>
      </c>
    </row>
    <row r="229" spans="1:8" x14ac:dyDescent="0.3">
      <c r="A229" s="19" t="s">
        <v>11</v>
      </c>
      <c r="B229" s="32">
        <v>41150</v>
      </c>
      <c r="C229" s="32">
        <v>41700</v>
      </c>
      <c r="D229" s="31">
        <v>53</v>
      </c>
      <c r="E229" s="19" t="s">
        <v>115</v>
      </c>
      <c r="F229" s="73">
        <v>46303</v>
      </c>
      <c r="G229" s="34">
        <v>798309.99999999988</v>
      </c>
      <c r="H229" s="34">
        <v>808979.99999999988</v>
      </c>
    </row>
    <row r="230" spans="1:8" x14ac:dyDescent="0.3">
      <c r="A230" s="19" t="s">
        <v>11</v>
      </c>
      <c r="B230" s="32">
        <v>41150</v>
      </c>
      <c r="C230" s="32">
        <v>41700</v>
      </c>
      <c r="D230" s="31">
        <v>53</v>
      </c>
      <c r="E230" s="19" t="s">
        <v>115</v>
      </c>
      <c r="F230" s="73">
        <v>46303</v>
      </c>
      <c r="G230" s="34">
        <v>2043509.0000000002</v>
      </c>
      <c r="H230" s="34">
        <v>2070822.0000000002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115</v>
      </c>
      <c r="F231" s="73">
        <v>46303</v>
      </c>
      <c r="G231" s="34">
        <v>1166040</v>
      </c>
      <c r="H231" s="34">
        <v>1170468</v>
      </c>
    </row>
    <row r="232" spans="1:8" x14ac:dyDescent="0.3">
      <c r="A232" s="19" t="s">
        <v>112</v>
      </c>
      <c r="B232" s="32">
        <v>39900</v>
      </c>
      <c r="C232" s="32">
        <v>41000</v>
      </c>
      <c r="D232" s="31">
        <v>55</v>
      </c>
      <c r="E232" s="19" t="s">
        <v>113</v>
      </c>
      <c r="F232" s="73">
        <v>46301</v>
      </c>
      <c r="G232" s="34">
        <v>183540</v>
      </c>
      <c r="H232" s="34">
        <v>188599.99999999997</v>
      </c>
    </row>
    <row r="233" spans="1:8" x14ac:dyDescent="0.3">
      <c r="A233" s="19" t="s">
        <v>112</v>
      </c>
      <c r="B233" s="32">
        <v>39900</v>
      </c>
      <c r="C233" s="32">
        <v>41000</v>
      </c>
      <c r="D233" s="31">
        <v>55</v>
      </c>
      <c r="E233" s="19" t="s">
        <v>113</v>
      </c>
      <c r="F233" s="73">
        <v>46301</v>
      </c>
      <c r="G233" s="34">
        <v>1178646</v>
      </c>
      <c r="H233" s="34">
        <v>1211140</v>
      </c>
    </row>
    <row r="234" spans="1:8" x14ac:dyDescent="0.3">
      <c r="A234" s="19" t="s">
        <v>112</v>
      </c>
      <c r="B234" s="32">
        <v>39900</v>
      </c>
      <c r="C234" s="32">
        <v>41000</v>
      </c>
      <c r="D234" s="31">
        <v>55</v>
      </c>
      <c r="E234" s="19" t="s">
        <v>113</v>
      </c>
      <c r="F234" s="73">
        <v>46301</v>
      </c>
      <c r="G234" s="34">
        <v>156009</v>
      </c>
      <c r="H234" s="34">
        <v>160310</v>
      </c>
    </row>
    <row r="235" spans="1:8" x14ac:dyDescent="0.3">
      <c r="A235" s="19" t="s">
        <v>112</v>
      </c>
      <c r="B235" s="32">
        <v>39900</v>
      </c>
      <c r="C235" s="32">
        <v>41000</v>
      </c>
      <c r="D235" s="31">
        <v>55</v>
      </c>
      <c r="E235" s="19" t="s">
        <v>113</v>
      </c>
      <c r="F235" s="73">
        <v>46301</v>
      </c>
      <c r="G235" s="34">
        <v>786429</v>
      </c>
      <c r="H235" s="34">
        <v>808110</v>
      </c>
    </row>
    <row r="236" spans="1:8" x14ac:dyDescent="0.3">
      <c r="A236" s="19" t="s">
        <v>112</v>
      </c>
      <c r="B236" s="32">
        <v>38000</v>
      </c>
      <c r="C236" s="32">
        <v>41000</v>
      </c>
      <c r="D236" s="31">
        <v>55</v>
      </c>
      <c r="E236" s="19" t="s">
        <v>113</v>
      </c>
      <c r="F236" s="73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40084.722529582534</v>
      </c>
      <c r="D237" s="31">
        <v>57</v>
      </c>
      <c r="E237" s="19" t="s">
        <v>137</v>
      </c>
      <c r="F237" s="73">
        <v>46304</v>
      </c>
      <c r="G237" s="34">
        <v>1684160</v>
      </c>
      <c r="H237" s="34">
        <v>1776554.902511098</v>
      </c>
    </row>
    <row r="238" spans="1:8" x14ac:dyDescent="0.3">
      <c r="A238" s="19" t="s">
        <v>8</v>
      </c>
      <c r="B238" s="32">
        <v>40100</v>
      </c>
      <c r="C238" s="32">
        <v>40084.722529582534</v>
      </c>
      <c r="D238" s="31">
        <v>57</v>
      </c>
      <c r="E238" s="19" t="s">
        <v>137</v>
      </c>
      <c r="F238" s="73">
        <v>46304</v>
      </c>
      <c r="G238" s="34">
        <v>1573523.9999999998</v>
      </c>
      <c r="H238" s="34">
        <v>1572924.5120608185</v>
      </c>
    </row>
    <row r="239" spans="1:8" x14ac:dyDescent="0.3">
      <c r="A239" s="19" t="s">
        <v>8</v>
      </c>
      <c r="B239" s="32">
        <v>40100</v>
      </c>
      <c r="C239" s="32">
        <v>40084.722529582534</v>
      </c>
      <c r="D239" s="31">
        <v>57</v>
      </c>
      <c r="E239" s="19" t="s">
        <v>137</v>
      </c>
      <c r="F239" s="73">
        <v>46304</v>
      </c>
      <c r="G239" s="34">
        <v>1578737</v>
      </c>
      <c r="H239" s="34">
        <v>1578135.5259896643</v>
      </c>
    </row>
    <row r="240" spans="1:8" x14ac:dyDescent="0.3">
      <c r="A240" s="19" t="s">
        <v>8</v>
      </c>
      <c r="B240" s="32">
        <v>40100</v>
      </c>
      <c r="C240" s="32">
        <v>40084.722529582534</v>
      </c>
      <c r="D240" s="31">
        <v>57</v>
      </c>
      <c r="E240" s="19" t="s">
        <v>137</v>
      </c>
      <c r="F240" s="73">
        <v>46304</v>
      </c>
      <c r="G240" s="34">
        <v>5912745</v>
      </c>
      <c r="H240" s="34">
        <v>5910492.3369869441</v>
      </c>
    </row>
    <row r="241" spans="1:8" x14ac:dyDescent="0.3">
      <c r="A241" s="19" t="s">
        <v>8</v>
      </c>
      <c r="B241" s="32">
        <v>40100</v>
      </c>
      <c r="C241" s="32">
        <v>40084.722529582534</v>
      </c>
      <c r="D241" s="31">
        <v>57</v>
      </c>
      <c r="E241" s="19" t="s">
        <v>137</v>
      </c>
      <c r="F241" s="73">
        <v>46304</v>
      </c>
      <c r="G241" s="34">
        <v>61754</v>
      </c>
      <c r="H241" s="34">
        <v>61730.472695557102</v>
      </c>
    </row>
    <row r="242" spans="1:8" x14ac:dyDescent="0.3">
      <c r="A242" s="19" t="s">
        <v>8</v>
      </c>
      <c r="B242" s="32">
        <v>40100</v>
      </c>
      <c r="C242" s="32">
        <v>40084.722529582534</v>
      </c>
      <c r="D242" s="31">
        <v>57</v>
      </c>
      <c r="E242" s="19" t="s">
        <v>137</v>
      </c>
      <c r="F242" s="73">
        <v>46304</v>
      </c>
      <c r="G242" s="34">
        <v>708166</v>
      </c>
      <c r="H242" s="34">
        <v>707896.1998724275</v>
      </c>
    </row>
    <row r="243" spans="1:8" x14ac:dyDescent="0.3">
      <c r="A243" s="19" t="s">
        <v>8</v>
      </c>
      <c r="B243" s="32">
        <v>40100</v>
      </c>
      <c r="C243" s="32">
        <v>40084.722529582534</v>
      </c>
      <c r="D243" s="31">
        <v>57</v>
      </c>
      <c r="E243" s="19" t="s">
        <v>137</v>
      </c>
      <c r="F243" s="73">
        <v>46304</v>
      </c>
      <c r="G243" s="34">
        <v>314785</v>
      </c>
      <c r="H243" s="34">
        <v>314665.07185722288</v>
      </c>
    </row>
    <row r="244" spans="1:8" x14ac:dyDescent="0.3">
      <c r="A244" s="19" t="s">
        <v>8</v>
      </c>
      <c r="B244" s="32">
        <v>40100</v>
      </c>
      <c r="C244" s="32">
        <v>40084.722529582534</v>
      </c>
      <c r="D244" s="31">
        <v>57</v>
      </c>
      <c r="E244" s="19" t="s">
        <v>137</v>
      </c>
      <c r="F244" s="73">
        <v>46304</v>
      </c>
      <c r="G244" s="34">
        <v>238194.00000000003</v>
      </c>
      <c r="H244" s="34">
        <v>238103.25182572028</v>
      </c>
    </row>
    <row r="245" spans="1:8" x14ac:dyDescent="0.3">
      <c r="A245" s="19" t="s">
        <v>8</v>
      </c>
      <c r="B245" s="32">
        <v>40100</v>
      </c>
      <c r="C245" s="32">
        <v>40084.722529582534</v>
      </c>
      <c r="D245" s="31">
        <v>57</v>
      </c>
      <c r="E245" s="19" t="s">
        <v>137</v>
      </c>
      <c r="F245" s="73">
        <v>46304</v>
      </c>
      <c r="G245" s="34">
        <v>78596</v>
      </c>
      <c r="H245" s="34">
        <v>78566.056157981759</v>
      </c>
    </row>
    <row r="246" spans="1:8" x14ac:dyDescent="0.3">
      <c r="A246" s="19" t="s">
        <v>8</v>
      </c>
      <c r="B246" s="32">
        <v>40100</v>
      </c>
      <c r="C246" s="32">
        <v>40084.722529582534</v>
      </c>
      <c r="D246" s="31">
        <v>57</v>
      </c>
      <c r="E246" s="19" t="s">
        <v>137</v>
      </c>
      <c r="F246" s="73">
        <v>46304</v>
      </c>
      <c r="G246" s="34">
        <v>78195</v>
      </c>
      <c r="H246" s="34">
        <v>78165.208932685942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115</v>
      </c>
      <c r="F247" s="73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115</v>
      </c>
      <c r="F248" s="73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115</v>
      </c>
      <c r="F249" s="73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115</v>
      </c>
      <c r="F250" s="73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115</v>
      </c>
      <c r="F251" s="73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115</v>
      </c>
      <c r="F252" s="73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115</v>
      </c>
      <c r="F253" s="73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115</v>
      </c>
      <c r="F254" s="73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115</v>
      </c>
      <c r="F255" s="73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115</v>
      </c>
      <c r="F256" s="73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115</v>
      </c>
      <c r="F257" s="73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115</v>
      </c>
      <c r="F258" s="73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115</v>
      </c>
      <c r="F259" s="73">
        <v>46306</v>
      </c>
      <c r="G259" s="34">
        <v>3878723.9999999995</v>
      </c>
      <c r="H259" s="34">
        <v>3893471.9999999995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zoomScale="98" zoomScaleNormal="98" workbookViewId="0">
      <selection activeCell="A12" sqref="A12:L2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2" t="s">
        <v>98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</row>
    <row r="2" spans="1:12" ht="31.8" customHeight="1" x14ac:dyDescent="0.3">
      <c r="A2" s="36" t="s">
        <v>141</v>
      </c>
      <c r="B2" s="64" t="s">
        <v>131</v>
      </c>
      <c r="C2" s="65"/>
      <c r="D2" s="37" t="s">
        <v>142</v>
      </c>
      <c r="E2" s="38" t="s">
        <v>138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60</v>
      </c>
      <c r="F3" s="49"/>
      <c r="G3" s="50">
        <v>258947848.25380239</v>
      </c>
      <c r="H3" s="51">
        <v>154277622.80017546</v>
      </c>
      <c r="I3" s="50">
        <v>104670225.45362698</v>
      </c>
      <c r="J3" s="50">
        <v>36421222.165556051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 t="s">
        <v>39</v>
      </c>
      <c r="B5" s="55" t="s">
        <v>8</v>
      </c>
      <c r="C5" s="56">
        <v>46232</v>
      </c>
      <c r="D5" s="57">
        <v>7140063.75</v>
      </c>
      <c r="E5" s="58" t="s">
        <v>91</v>
      </c>
      <c r="F5" s="56">
        <v>46254</v>
      </c>
      <c r="G5" s="59">
        <v>2380021.25</v>
      </c>
      <c r="H5" s="57">
        <v>2034739</v>
      </c>
      <c r="I5" s="57">
        <v>345282.25</v>
      </c>
      <c r="J5" s="57">
        <v>345282.25</v>
      </c>
      <c r="K5" s="60" t="s">
        <v>132</v>
      </c>
      <c r="L5" s="55" t="s">
        <v>92</v>
      </c>
    </row>
    <row r="6" spans="1:12" ht="14.4" customHeight="1" x14ac:dyDescent="0.3">
      <c r="A6" s="55">
        <v>46</v>
      </c>
      <c r="B6" s="55" t="s">
        <v>8</v>
      </c>
      <c r="C6" s="56">
        <v>46281</v>
      </c>
      <c r="D6" s="57">
        <v>9934056</v>
      </c>
      <c r="E6" s="58" t="s">
        <v>91</v>
      </c>
      <c r="F6" s="56">
        <v>46260</v>
      </c>
      <c r="G6" s="57">
        <v>3311352</v>
      </c>
      <c r="H6" s="57">
        <v>3300000</v>
      </c>
      <c r="I6" s="57">
        <v>11352</v>
      </c>
      <c r="J6" s="57">
        <v>11352</v>
      </c>
      <c r="K6" s="60" t="s">
        <v>133</v>
      </c>
      <c r="L6" s="55" t="s">
        <v>92</v>
      </c>
    </row>
    <row r="7" spans="1:12" ht="14.4" customHeight="1" x14ac:dyDescent="0.3">
      <c r="A7" s="55">
        <v>3</v>
      </c>
      <c r="B7" s="55" t="s">
        <v>8</v>
      </c>
      <c r="C7" s="56">
        <v>46211</v>
      </c>
      <c r="D7" s="57">
        <v>7857894</v>
      </c>
      <c r="E7" s="58" t="s">
        <v>91</v>
      </c>
      <c r="F7" s="56">
        <v>46301</v>
      </c>
      <c r="G7" s="57">
        <v>7857894</v>
      </c>
      <c r="H7" s="57">
        <v>7593366</v>
      </c>
      <c r="I7" s="57">
        <v>264528</v>
      </c>
      <c r="J7" s="57">
        <v>264528</v>
      </c>
      <c r="K7" s="60" t="s">
        <v>134</v>
      </c>
      <c r="L7" s="55" t="s">
        <v>92</v>
      </c>
    </row>
    <row r="8" spans="1:12" ht="14.4" customHeight="1" x14ac:dyDescent="0.3">
      <c r="A8" s="55">
        <v>55</v>
      </c>
      <c r="B8" s="55" t="s">
        <v>112</v>
      </c>
      <c r="C8" s="56">
        <v>46301</v>
      </c>
      <c r="D8" s="57">
        <v>4791465</v>
      </c>
      <c r="E8" s="58" t="s">
        <v>93</v>
      </c>
      <c r="F8" s="56">
        <v>46301</v>
      </c>
      <c r="G8" s="57">
        <v>2395732.5</v>
      </c>
      <c r="H8" s="57">
        <v>2394932</v>
      </c>
      <c r="I8" s="57">
        <v>800.5</v>
      </c>
      <c r="J8" s="57">
        <v>800.5</v>
      </c>
      <c r="K8" s="60" t="s">
        <v>134</v>
      </c>
      <c r="L8" s="55" t="s">
        <v>92</v>
      </c>
    </row>
    <row r="9" spans="1:12" ht="14.4" customHeight="1" x14ac:dyDescent="0.3">
      <c r="A9" s="55">
        <v>53</v>
      </c>
      <c r="B9" s="55" t="s">
        <v>11</v>
      </c>
      <c r="C9" s="56">
        <v>46303</v>
      </c>
      <c r="D9" s="57">
        <v>4081596</v>
      </c>
      <c r="E9" s="58" t="s">
        <v>93</v>
      </c>
      <c r="F9" s="56">
        <v>46303</v>
      </c>
      <c r="G9" s="57">
        <v>4081596</v>
      </c>
      <c r="H9" s="57">
        <v>883978</v>
      </c>
      <c r="I9" s="57">
        <v>3197618</v>
      </c>
      <c r="J9" s="57">
        <v>3197618</v>
      </c>
      <c r="K9" s="60" t="s">
        <v>135</v>
      </c>
      <c r="L9" s="55" t="s">
        <v>92</v>
      </c>
    </row>
    <row r="10" spans="1:12" ht="14.4" customHeight="1" x14ac:dyDescent="0.3">
      <c r="A10" s="55">
        <v>54</v>
      </c>
      <c r="B10" s="55" t="s">
        <v>11</v>
      </c>
      <c r="C10" s="56">
        <v>46303</v>
      </c>
      <c r="D10" s="57">
        <v>1170468</v>
      </c>
      <c r="E10" s="58" t="s">
        <v>93</v>
      </c>
      <c r="F10" s="56">
        <v>46303</v>
      </c>
      <c r="G10" s="57">
        <v>1170468</v>
      </c>
      <c r="H10" s="57">
        <v>0</v>
      </c>
      <c r="I10" s="57">
        <v>1170468</v>
      </c>
      <c r="J10" s="57">
        <v>1170468</v>
      </c>
      <c r="K10" s="60" t="s">
        <v>135</v>
      </c>
      <c r="L10" s="55" t="s">
        <v>92</v>
      </c>
    </row>
    <row r="11" spans="1:12" ht="14.4" customHeight="1" x14ac:dyDescent="0.3">
      <c r="A11" s="55">
        <v>57</v>
      </c>
      <c r="B11" s="55" t="s">
        <v>8</v>
      </c>
      <c r="C11" s="56">
        <v>46304</v>
      </c>
      <c r="D11" s="57">
        <v>12317233.538890122</v>
      </c>
      <c r="E11" s="42" t="s">
        <v>93</v>
      </c>
      <c r="F11" s="56">
        <v>46304</v>
      </c>
      <c r="G11" s="59">
        <v>4926893.415556049</v>
      </c>
      <c r="H11" s="57">
        <v>0</v>
      </c>
      <c r="I11" s="57">
        <v>4926893.415556049</v>
      </c>
      <c r="J11" s="57">
        <v>4926893.415556049</v>
      </c>
      <c r="K11" s="60" t="s">
        <v>139</v>
      </c>
      <c r="L11" s="55" t="s">
        <v>92</v>
      </c>
    </row>
    <row r="12" spans="1:12" ht="14.4" customHeight="1" x14ac:dyDescent="0.3">
      <c r="A12" s="55">
        <v>60</v>
      </c>
      <c r="B12" s="55" t="s">
        <v>8</v>
      </c>
      <c r="C12" s="56">
        <v>46306</v>
      </c>
      <c r="D12" s="57">
        <v>26504280</v>
      </c>
      <c r="E12" s="42" t="s">
        <v>93</v>
      </c>
      <c r="F12" s="56">
        <v>46306</v>
      </c>
      <c r="G12" s="57">
        <v>26504280</v>
      </c>
      <c r="H12" s="57">
        <v>0</v>
      </c>
      <c r="I12" s="57">
        <v>26504280</v>
      </c>
      <c r="J12" s="57">
        <v>26504280</v>
      </c>
      <c r="K12" s="60" t="s">
        <v>140</v>
      </c>
      <c r="L12" s="55" t="s">
        <v>92</v>
      </c>
    </row>
    <row r="13" spans="1:12" ht="14.4" customHeight="1" x14ac:dyDescent="0.3">
      <c r="A13" s="55">
        <v>39</v>
      </c>
      <c r="B13" s="55" t="s">
        <v>47</v>
      </c>
      <c r="C13" s="56">
        <v>46250</v>
      </c>
      <c r="D13" s="57">
        <v>2017305</v>
      </c>
      <c r="E13" s="42" t="s">
        <v>91</v>
      </c>
      <c r="F13" s="56">
        <v>46310</v>
      </c>
      <c r="G13" s="57">
        <v>2017305</v>
      </c>
      <c r="H13" s="57">
        <v>500000</v>
      </c>
      <c r="I13" s="57">
        <v>1517305</v>
      </c>
      <c r="J13" s="57">
        <v>0</v>
      </c>
      <c r="K13" s="60"/>
      <c r="L13" s="55" t="s">
        <v>136</v>
      </c>
    </row>
    <row r="14" spans="1:12" ht="14.4" customHeight="1" x14ac:dyDescent="0.3">
      <c r="A14" s="55">
        <v>41</v>
      </c>
      <c r="B14" s="55" t="s">
        <v>13</v>
      </c>
      <c r="C14" s="56">
        <v>46251</v>
      </c>
      <c r="D14" s="57">
        <v>3979312.8421052634</v>
      </c>
      <c r="E14" s="42" t="s">
        <v>91</v>
      </c>
      <c r="F14" s="56">
        <v>46311</v>
      </c>
      <c r="G14" s="57">
        <v>3979312.8421052634</v>
      </c>
      <c r="H14" s="57">
        <v>0</v>
      </c>
      <c r="I14" s="57">
        <v>3979312.8421052634</v>
      </c>
      <c r="J14" s="57">
        <v>0</v>
      </c>
      <c r="K14" s="60"/>
      <c r="L14" s="55" t="s">
        <v>120</v>
      </c>
    </row>
    <row r="15" spans="1:12" ht="14.4" customHeight="1" x14ac:dyDescent="0.3">
      <c r="A15" s="55">
        <v>47</v>
      </c>
      <c r="B15" s="55" t="s">
        <v>11</v>
      </c>
      <c r="C15" s="56">
        <v>46284</v>
      </c>
      <c r="D15" s="57">
        <v>4577624</v>
      </c>
      <c r="E15" s="42" t="s">
        <v>91</v>
      </c>
      <c r="F15" s="56">
        <v>46314</v>
      </c>
      <c r="G15" s="57">
        <v>3433218</v>
      </c>
      <c r="H15" s="57">
        <v>0</v>
      </c>
      <c r="I15" s="57">
        <v>3433218</v>
      </c>
      <c r="J15" s="57">
        <v>0</v>
      </c>
      <c r="K15" s="60"/>
      <c r="L15" s="55" t="s">
        <v>114</v>
      </c>
    </row>
    <row r="16" spans="1:12" ht="14.4" customHeight="1" x14ac:dyDescent="0.3">
      <c r="A16" s="55" t="s">
        <v>39</v>
      </c>
      <c r="B16" s="55" t="s">
        <v>8</v>
      </c>
      <c r="C16" s="56">
        <v>46232</v>
      </c>
      <c r="D16" s="57">
        <v>7140063.75</v>
      </c>
      <c r="E16" s="42" t="s">
        <v>96</v>
      </c>
      <c r="F16" s="56">
        <v>46315</v>
      </c>
      <c r="G16" s="57">
        <v>2380021.25</v>
      </c>
      <c r="H16" s="57">
        <v>0</v>
      </c>
      <c r="I16" s="57">
        <v>2380021.25</v>
      </c>
      <c r="J16" s="57">
        <v>0</v>
      </c>
      <c r="K16" s="60"/>
      <c r="L16" s="55" t="s">
        <v>114</v>
      </c>
    </row>
    <row r="17" spans="1:12" ht="14.4" customHeight="1" x14ac:dyDescent="0.3">
      <c r="A17" s="55">
        <v>43</v>
      </c>
      <c r="B17" s="55" t="s">
        <v>15</v>
      </c>
      <c r="C17" s="56">
        <v>46256</v>
      </c>
      <c r="D17" s="57">
        <v>17745354</v>
      </c>
      <c r="E17" s="42" t="s">
        <v>91</v>
      </c>
      <c r="F17" s="56">
        <v>46316</v>
      </c>
      <c r="G17" s="57">
        <v>17745354</v>
      </c>
      <c r="H17" s="57">
        <v>0</v>
      </c>
      <c r="I17" s="57">
        <v>17745354</v>
      </c>
      <c r="J17" s="57">
        <v>0</v>
      </c>
      <c r="K17" s="60"/>
      <c r="L17" s="55" t="s">
        <v>114</v>
      </c>
    </row>
    <row r="18" spans="1:12" ht="14.4" customHeight="1" x14ac:dyDescent="0.3">
      <c r="A18" s="55">
        <v>31</v>
      </c>
      <c r="B18" s="55" t="s">
        <v>8</v>
      </c>
      <c r="C18" s="56">
        <v>46240</v>
      </c>
      <c r="D18" s="57">
        <v>21017295.5</v>
      </c>
      <c r="E18" s="42" t="s">
        <v>96</v>
      </c>
      <c r="F18" s="56">
        <v>46321</v>
      </c>
      <c r="G18" s="57">
        <v>7005765.166666667</v>
      </c>
      <c r="H18" s="57">
        <v>0</v>
      </c>
      <c r="I18" s="57">
        <v>7005765.166666667</v>
      </c>
      <c r="J18" s="57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6">
        <v>46250</v>
      </c>
      <c r="D19" s="57">
        <v>8878488</v>
      </c>
      <c r="E19" s="42" t="s">
        <v>96</v>
      </c>
      <c r="F19" s="56">
        <v>46321</v>
      </c>
      <c r="G19" s="57">
        <v>2959496</v>
      </c>
      <c r="H19" s="57">
        <v>0</v>
      </c>
      <c r="I19" s="57">
        <v>2959496</v>
      </c>
      <c r="J19" s="57">
        <v>0</v>
      </c>
      <c r="K19" s="60"/>
      <c r="L19" s="55" t="s">
        <v>95</v>
      </c>
    </row>
    <row r="20" spans="1:12" ht="14.4" customHeight="1" x14ac:dyDescent="0.3">
      <c r="A20" s="42">
        <v>44</v>
      </c>
      <c r="B20" s="42" t="s">
        <v>17</v>
      </c>
      <c r="C20" s="44">
        <v>46268</v>
      </c>
      <c r="D20" s="45">
        <v>7179524.3859649124</v>
      </c>
      <c r="E20" s="42" t="s">
        <v>91</v>
      </c>
      <c r="F20" s="44">
        <v>46321</v>
      </c>
      <c r="G20" s="45">
        <v>7179524.3859649124</v>
      </c>
      <c r="H20" s="45">
        <v>147567.97999999952</v>
      </c>
      <c r="I20" s="45">
        <v>7031956.4059649128</v>
      </c>
      <c r="J20" s="45">
        <v>0</v>
      </c>
      <c r="K20" s="46"/>
      <c r="L20" s="42" t="s">
        <v>95</v>
      </c>
    </row>
    <row r="21" spans="1:12" ht="14.4" customHeight="1" x14ac:dyDescent="0.3">
      <c r="A21" s="42">
        <v>46</v>
      </c>
      <c r="B21" s="42" t="s">
        <v>8</v>
      </c>
      <c r="C21" s="44">
        <v>46281</v>
      </c>
      <c r="D21" s="45">
        <v>9934056</v>
      </c>
      <c r="E21" s="42" t="s">
        <v>96</v>
      </c>
      <c r="F21" s="44">
        <v>46321</v>
      </c>
      <c r="G21" s="45">
        <v>3311352</v>
      </c>
      <c r="H21" s="45">
        <v>0</v>
      </c>
      <c r="I21" s="45">
        <v>3311352</v>
      </c>
      <c r="J21" s="45">
        <v>0</v>
      </c>
      <c r="K21" s="46"/>
      <c r="L21" s="42" t="s">
        <v>95</v>
      </c>
    </row>
    <row r="22" spans="1:12" ht="14.4" customHeight="1" x14ac:dyDescent="0.3">
      <c r="A22" s="42">
        <v>51</v>
      </c>
      <c r="B22" s="42" t="s">
        <v>11</v>
      </c>
      <c r="C22" s="44">
        <v>46292</v>
      </c>
      <c r="D22" s="45">
        <v>4576040</v>
      </c>
      <c r="E22" s="42" t="s">
        <v>91</v>
      </c>
      <c r="F22" s="44">
        <v>46322</v>
      </c>
      <c r="G22" s="45">
        <v>2288020</v>
      </c>
      <c r="H22" s="45">
        <v>0</v>
      </c>
      <c r="I22" s="45">
        <v>2288020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52</v>
      </c>
      <c r="B23" s="42" t="s">
        <v>112</v>
      </c>
      <c r="C23" s="44">
        <v>46297</v>
      </c>
      <c r="D23" s="45">
        <v>5384800</v>
      </c>
      <c r="E23" s="42" t="s">
        <v>91</v>
      </c>
      <c r="F23" s="44">
        <v>46327</v>
      </c>
      <c r="G23" s="45">
        <v>2599999.9999999991</v>
      </c>
      <c r="H23" s="45">
        <v>0</v>
      </c>
      <c r="I23" s="45">
        <v>2599999.9999999991</v>
      </c>
      <c r="J23" s="45">
        <v>0</v>
      </c>
      <c r="K23" s="46"/>
      <c r="L23" s="42" t="s">
        <v>95</v>
      </c>
    </row>
    <row r="24" spans="1:12" ht="14.4" customHeight="1" x14ac:dyDescent="0.3">
      <c r="A24" s="42">
        <v>55</v>
      </c>
      <c r="B24" s="42" t="s">
        <v>112</v>
      </c>
      <c r="C24" s="44">
        <v>46301</v>
      </c>
      <c r="D24" s="45">
        <v>4791465</v>
      </c>
      <c r="E24" s="42" t="s">
        <v>91</v>
      </c>
      <c r="F24" s="44">
        <v>46331</v>
      </c>
      <c r="G24" s="45">
        <v>2395732.5</v>
      </c>
      <c r="H24" s="45">
        <v>0</v>
      </c>
      <c r="I24" s="45">
        <v>2395732.5</v>
      </c>
      <c r="J24" s="45">
        <v>0</v>
      </c>
      <c r="K24" s="46"/>
      <c r="L24" s="42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12317233.538890122</v>
      </c>
      <c r="E26" s="42" t="s">
        <v>91</v>
      </c>
      <c r="F26" s="44">
        <v>46349</v>
      </c>
      <c r="G26" s="45">
        <v>3695170.0616670363</v>
      </c>
      <c r="H26" s="45">
        <v>0</v>
      </c>
      <c r="I26" s="45">
        <v>3695170.0616670363</v>
      </c>
      <c r="J26" s="45">
        <v>0</v>
      </c>
      <c r="K26" s="46"/>
      <c r="L26" s="42" t="s">
        <v>95</v>
      </c>
    </row>
    <row r="27" spans="1:12" ht="14.4" customHeight="1" x14ac:dyDescent="0.3">
      <c r="A27" s="42">
        <v>51</v>
      </c>
      <c r="B27" s="42" t="s">
        <v>11</v>
      </c>
      <c r="C27" s="44">
        <v>46292</v>
      </c>
      <c r="D27" s="45">
        <v>4576040</v>
      </c>
      <c r="E27" s="42" t="s">
        <v>94</v>
      </c>
      <c r="F27" s="44">
        <v>46353</v>
      </c>
      <c r="G27" s="45">
        <v>2288020</v>
      </c>
      <c r="H27" s="45">
        <v>0</v>
      </c>
      <c r="I27" s="45">
        <v>2288020</v>
      </c>
      <c r="J27" s="45">
        <v>0</v>
      </c>
      <c r="K27" s="46"/>
      <c r="L27" s="42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12317233.538890122</v>
      </c>
      <c r="E28" s="42" t="s">
        <v>94</v>
      </c>
      <c r="F28" s="44">
        <v>46379</v>
      </c>
      <c r="G28" s="45">
        <v>3695170.0616670363</v>
      </c>
      <c r="H28" s="45">
        <v>0</v>
      </c>
      <c r="I28" s="45">
        <v>3695170.0616670363</v>
      </c>
      <c r="J28" s="45">
        <v>0</v>
      </c>
      <c r="K28" s="46"/>
      <c r="L28" s="42" t="s">
        <v>95</v>
      </c>
    </row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11">
    <cfRule type="containsText" dxfId="11" priority="7" operator="containsText" text="مسدّد">
      <formula>NOT(ISERROR(SEARCH("مسدّد",L7)))</formula>
    </cfRule>
  </conditionalFormatting>
  <conditionalFormatting sqref="L7:L11">
    <cfRule type="containsText" dxfId="10" priority="8" operator="containsText" text="مستحق">
      <formula>NOT(ISERROR(SEARCH("مستحق",L7)))</formula>
    </cfRule>
  </conditionalFormatting>
  <conditionalFormatting sqref="L7:L11">
    <cfRule type="containsText" dxfId="9" priority="9" operator="containsText" text="قريب">
      <formula>NOT(ISERROR(SEARCH("قريب",L7)))</formula>
    </cfRule>
  </conditionalFormatting>
  <conditionalFormatting sqref="L7:L11">
    <cfRule type="containsText" dxfId="8" priority="10" operator="containsText" text="جار">
      <formula>NOT(ISERROR(SEARCH("جار",L7)))</formula>
    </cfRule>
  </conditionalFormatting>
  <conditionalFormatting sqref="L7:L11">
    <cfRule type="containsText" dxfId="7" priority="11" operator="containsText" text="بدون">
      <formula>NOT(ISERROR(SEARCH("بدون",L7)))</formula>
    </cfRule>
  </conditionalFormatting>
  <conditionalFormatting sqref="J7:J11">
    <cfRule type="cellIs" dxfId="6" priority="12" operator="greaterThan">
      <formula>0</formula>
    </cfRule>
  </conditionalFormatting>
  <conditionalFormatting sqref="L12:L28">
    <cfRule type="containsText" dxfId="5" priority="1" operator="containsText" text="مسدّد">
      <formula>NOT(ISERROR(SEARCH("مسدّد",L12)))</formula>
    </cfRule>
  </conditionalFormatting>
  <conditionalFormatting sqref="L12:L28">
    <cfRule type="containsText" dxfId="4" priority="2" operator="containsText" text="مستحق">
      <formula>NOT(ISERROR(SEARCH("مستحق",L12)))</formula>
    </cfRule>
  </conditionalFormatting>
  <conditionalFormatting sqref="L12:L28">
    <cfRule type="containsText" dxfId="3" priority="3" operator="containsText" text="قريب">
      <formula>NOT(ISERROR(SEARCH("قريب",L12)))</formula>
    </cfRule>
  </conditionalFormatting>
  <conditionalFormatting sqref="L12:L28">
    <cfRule type="containsText" dxfId="2" priority="4" operator="containsText" text="جار">
      <formula>NOT(ISERROR(SEARCH("جار",L12)))</formula>
    </cfRule>
  </conditionalFormatting>
  <conditionalFormatting sqref="L12:L28">
    <cfRule type="containsText" dxfId="1" priority="5" operator="containsText" text="بدون">
      <formula>NOT(ISERROR(SEARCH("بدون",L12)))</formula>
    </cfRule>
  </conditionalFormatting>
  <conditionalFormatting sqref="J12:J28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6" t="s">
        <v>49</v>
      </c>
      <c r="B1" s="67"/>
      <c r="C1" s="67"/>
      <c r="I1" s="70" t="s">
        <v>50</v>
      </c>
      <c r="J1" s="71"/>
      <c r="K1" s="71"/>
    </row>
    <row r="2" spans="1:11" ht="15.6" x14ac:dyDescent="0.3">
      <c r="A2" s="2" t="s">
        <v>51</v>
      </c>
      <c r="B2" s="68">
        <f>SUM(B4:B3000)-SUM(C4:C3000)</f>
        <v>104635208.27380243</v>
      </c>
      <c r="C2" s="69"/>
      <c r="I2" s="3" t="s">
        <v>51</v>
      </c>
      <c r="J2" s="68">
        <f>SUM(J4:J3000)-SUM(K4:K3000)</f>
        <v>-104498548.5</v>
      </c>
      <c r="K2" s="69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104498548.5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55099310.788890138</v>
      </c>
      <c r="C6" s="7">
        <v>0</v>
      </c>
    </row>
    <row r="7" spans="1:11" ht="18" customHeight="1" x14ac:dyDescent="0.35">
      <c r="A7" s="6" t="s">
        <v>11</v>
      </c>
      <c r="B7" s="7">
        <v>12377344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112</v>
      </c>
      <c r="B12" s="7">
        <v>4996533.0000000019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2" t="s">
        <v>78</v>
      </c>
      <c r="B1" s="72"/>
      <c r="C1" s="72"/>
      <c r="D1" s="72"/>
    </row>
    <row r="2" spans="1:4" x14ac:dyDescent="0.3">
      <c r="A2" s="21" t="s">
        <v>79</v>
      </c>
      <c r="B2" s="22">
        <v>8</v>
      </c>
      <c r="C2" s="23">
        <v>36421222.165556051</v>
      </c>
      <c r="D2" s="24">
        <v>15.5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1" t="s">
        <v>112</v>
      </c>
      <c r="B4" s="26">
        <v>1</v>
      </c>
      <c r="C4" s="27">
        <v>800.5</v>
      </c>
      <c r="D4" s="28">
        <v>6</v>
      </c>
    </row>
    <row r="5" spans="1:4" x14ac:dyDescent="0.3">
      <c r="A5" s="29" t="s">
        <v>8</v>
      </c>
      <c r="B5" s="26">
        <v>5</v>
      </c>
      <c r="C5" s="27">
        <v>32052335.665556051</v>
      </c>
      <c r="D5" s="28">
        <v>22</v>
      </c>
    </row>
    <row r="6" spans="1:4" x14ac:dyDescent="0.3">
      <c r="A6" s="29" t="s">
        <v>11</v>
      </c>
      <c r="B6" s="26">
        <v>2</v>
      </c>
      <c r="C6" s="27">
        <v>4368086</v>
      </c>
      <c r="D6" s="28">
        <v>4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Xu+sigqRdLPcWm/XbP+a72YLz8P935KvJUffxtwup+YdG3Vl+bDxhcStadEuX7AAjVrUA5SoU9AK7RXPQgMkmw==" saltValue="foQIgtTeA7TP2I9qVVLGyw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2026-10-11T14:10:50Z</dcterms:modified>
</cp:coreProperties>
</file>