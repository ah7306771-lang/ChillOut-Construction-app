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82698B6-BB58-4868-B2A8-6721071C76AD}" xr6:coauthVersionLast="47" xr6:coauthVersionMax="47" xr10:uidLastSave="{00000000-0000-0000-0000-000000000000}"/>
  <bookViews>
    <workbookView minimized="1" xWindow="3696" yWindow="3696" windowWidth="17280" windowHeight="8964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<sst xmlns="http://schemas.openxmlformats.org/spreadsheetml/2006/main" count="191" uniqueCount="84">
  <si>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</si>
  <si>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</si>
  <si>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</si>
  <si>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</si>
  <si>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</si>
  <si>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</si>
  <si>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</si>
  <si>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</si>
  <si>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</si>
  <si>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</si>
  <si>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</si>
  <si>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</si>
  <si>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</si>
  <si>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</si>
  <si>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</si>
  <si>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</si>
  <si>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</si>
  <si>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</si>
  <si>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</si>
  <si>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</si>
  <si>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</si>
  <si>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</si>
  <si>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</si>
  <si>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</si>
  <si>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</si>
  <si>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</si>
  <si>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</si>
  <si>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</si>
  <si>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</si>
  <si>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</si>
  <si>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</si>
  <si>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</si>
  <si>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</si>
  <si>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</si>
  <si>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</si>
  <si>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</si>
  <si>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</si>
  <si>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</si>
  <si>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</si>
  <si>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</si>
  <si>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</si>
  <si>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</si>
  <si>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</si>
  <si>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</si>
  <si>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</si>
  <si>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</si>
  <si>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</si>
  <si>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</si>
  <si>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</si>
  <si>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</si>
  <si>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</si>
  <si>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</si>
  <si>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</si>
  <si>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</si>
  <si>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</si>
  <si>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</si>
  <si>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</si>
  <si>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</si>
  <si>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25 يوم</t>
  </si>
  <si>
    <t>⚠ شيك متأخر 19 يوم</t>
  </si>
  <si>
    <t>⚠ شيك متأخر 5 يوم</t>
  </si>
  <si>
    <t>⚠ باقي 6 يوم</t>
  </si>
  <si>
    <t>⚠ باقي 12 يوم</t>
  </si>
  <si>
    <t>⚠ باقي 15 يوم</t>
  </si>
  <si>
    <t>⚠ باقي 22 يوم</t>
  </si>
  <si>
    <t>⚠ باقي 36 يوم</t>
  </si>
  <si>
    <t>⚠ باقي 42 يوم</t>
  </si>
  <si>
    <t>⚠ باقي 26 يوم</t>
  </si>
  <si>
    <t>⚠ باقي 33 يوم</t>
  </si>
  <si>
    <t>⚠ باقي 3 يوم</t>
  </si>
  <si>
    <t>⚠ باقي 38 يوم</t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</si>
  <si>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</si>
  <si>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</si>
  <si>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</si>
  <si>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</si>
  <si>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</si>
  <si>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</si>
  <si>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</si>
  <si>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</si>
  <si>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</si>
  <si>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</si>
  <si>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شيك 30 يوم - شيك 60 يوم - شيك 90 يوم</t>
  </si>
  <si>
    <t>كاش 100%</t>
  </si>
  <si>
    <t>شيك اجل 60 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</si>
</sst>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58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59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60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61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62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63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64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65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66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67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68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69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70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66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71</v>
      </c>
      <c r="C2" s="33" t="s">
        <v>72</v>
      </c>
      <c r="D2" s="19" t="s">
        <v>73</v>
      </c>
      <c r="E2" s="19" t="s">
        <v>74</v>
      </c>
      <c r="F2" s="19" t="s">
        <v>75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80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80</v>
      </c>
      <c r="F4" s="38">
        <v>46268</v>
      </c>
    </row>
    <row r="5" spans="1:6" x14ac:dyDescent="0.3">
      <c r="A5" s="19" t="s">
        <v>8</v>
      </c>
      <c r="B5" s="33">
        <v>39450</v>
      </c>
      <c r="C5" s="33">
        <v>39950</v>
      </c>
      <c r="D5" s="19">
        <v>37</v>
      </c>
      <c r="E5" s="19" t="s">
        <v>81</v>
      </c>
      <c r="F5" s="38">
        <v>46250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82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76</v>
      </c>
      <c r="E7" s="19" t="s">
        <v>82</v>
      </c>
      <c r="F7" s="38">
        <v>46221</v>
      </c>
    </row>
    <row r="8" spans="1:6" hidden="1" x14ac:dyDescent="0.3">
      <c r="A8" s="19" t="s">
        <v>77</v>
      </c>
      <c r="B8" s="33"/>
      <c r="C8" s="33"/>
      <c r="D8" s="19" t="s">
        <v>78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79</v>
      </c>
      <c r="E9" s="19" t="s">
        <v>83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80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80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U1" sqref="U1:U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35" t="s">
        <v>19</v>
      </c>
      <c r="B1" s="35"/>
      <c r="C1" s="35"/>
      <c r="I1" s="35" t="s">
        <v>20</v>
      </c>
      <c r="J1" s="35"/>
      <c r="K1" s="35"/>
    </row>
    <row r="2" spans="1:11" x14ac:dyDescent="0.3">
      <c r="A2" s="2" t="s">
        <v>21</v>
      </c>
      <c r="B2" s="36">
        <f>SUM(B4:B3000)-SUM(C4:C3000)</f>
        <v>73727266.734912291</v>
      </c>
      <c r="C2" s="36"/>
      <c r="I2" s="3" t="s">
        <v>21</v>
      </c>
      <c r="J2" s="36">
        <f>SUM(J4:J3000)-SUM(K4:K3000)</f>
        <v>-76899579.5</v>
      </c>
      <c r="K2" s="36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4380041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7" t="s">
        <v>52</v>
      </c>
      <c r="B1" s="37"/>
      <c r="C1" s="37"/>
      <c r="D1" s="37"/>
    </row>
    <row r="2" spans="1:4" x14ac:dyDescent="0.3">
      <c r="A2" s="21" t="s">
        <v>53</v>
      </c>
      <c r="B2" s="22">
        <v>2</v>
      </c>
      <c r="C2" s="23">
        <v>2823191</v>
      </c>
      <c r="D2" s="24">
        <v>6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2</v>
      </c>
      <c r="C4" s="28">
        <v>2823191</v>
      </c>
      <c r="D4" s="29">
        <v>6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dHL7as/Fh2vjgNaWnDbCM1mv1zLx+I7dgjoUtWD5Jlk+f7pO5FZ99OisMYjYLGtm15p83z6+SdQ7Nh8N0kIBXg==" saltValue="o6LxFQFca9BLO500/f3L5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2026-09-14T13:35:17Z</dcterms:modified>
</cp:coreProperties>
</file>