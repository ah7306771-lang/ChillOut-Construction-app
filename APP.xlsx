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7958C76D-353D-49E2-8F47-C2612EEF6014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<sst xmlns="http://schemas.openxmlformats.org/spreadsheetml/2006/main" count="744" uniqueCount="146">
  <si>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</si>
  <si>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</si>
  <si>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</si>
  <si>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</si>
  <si>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</si>
  <si>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</si>
  <si>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</si>
  <si>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</si>
  <si>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</si>
  <si>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</si>
  <si>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</si>
  <si>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</si>
  <si>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</si>
  <si>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</si>
  <si>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</si>
  <si>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</si>
  <si>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</si>
  <si>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</si>
  <si>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</si>
  <si>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</si>
  <si>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</si>
  <si>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</si>
  <si>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</si>
  <si>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</si>
  <si>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</si>
  <si>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</si>
  <si>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</si>
  <si>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</si>
  <si>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</si>
  <si>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</si>
  <si>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</si>
  <si>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</si>
  <si>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</si>
  <si>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</si>
  <si>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</si>
  <si>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</si>
  <si>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</si>
  <si>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</si>
  <si>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</si>
  <si>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</si>
  <si>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</si>
  <si>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</si>
  <si>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</si>
  <si>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</si>
  <si>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</si>
  <si>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</si>
  <si>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</si>
  <si>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</si>
  <si>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</si>
  <si>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</si>
  <si>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</si>
  <si>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</si>
  <si>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</si>
  <si>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</si>
  <si>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</si>
  <si>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</si>
  <si>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</si>
  <si>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</si>
  <si>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</si>
  <si>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</si>
  <si>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</si>
  <si>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</si>
  <si>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</si>
  <si>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</si>
  <si>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</si>
  <si>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</si>
  <si>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</si>
  <si>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</si>
  <si>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</si>
  <si>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</si>
  <si>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</si>
  <si>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</si>
  <si>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</si>
  <si>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</si>
  <si>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</si>
  <si>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</si>
  <si>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</si>
  <si>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</si>
  <si>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</si>
  <si>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</si>
  <si>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</si>
  <si>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</si>
  <si>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</si>
  <si>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</si>
  <si>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</si>
  <si>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</si>
  <si>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</si>
  <si>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</si>
  <si>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</si>
  <si>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</si>
  <si>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</si>
  <si>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</si>
  <si>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</si>
  <si>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</si>
  <si>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</si>
  <si>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</si>
  <si>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</si>
  <si>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</si>
  <si>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</si>
  <si>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</si>
  <si>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</si>
  <si>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</si>
  <si>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</si>
  <si>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</si>
  <si>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</si>
  <si>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</si>
  <si>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</si>
  <si>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</si>
  <si>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</si>
  <si>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</si>
  <si>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</si>
  <si>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</si>
  <si>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</si>
  <si>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</si>
  <si>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</si>
  <si>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</si>
  <si>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</si>
  <si>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</si>
  <si>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</si>
  <si>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</si>
  <si>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</si>
  <si>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</si>
  <si>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</si>
  <si>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✅ مسدّد
194,049,435</t>
  </si>
  <si>
    <t>12 يوم</t>
  </si>
  <si>
    <t>13 يوم</t>
  </si>
  <si>
    <t>⚠ باقي 25 يوم</t>
  </si>
  <si>
    <t>17 يوم</t>
  </si>
  <si>
    <t>14 يوم</t>
  </si>
  <si>
    <t>5 أيام</t>
  </si>
  <si>
    <t>🔔 متبقي 6 أيام</t>
  </si>
  <si>
    <t>⚠ شيك متأخر 11 يوم</t>
  </si>
  <si>
    <t>⚠ شيك متأخر 1 يوم</t>
  </si>
  <si>
    <t>⚠ باقي 6 يوم</t>
  </si>
  <si>
    <t>⚠ باقي 22 يوم</t>
  </si>
  <si>
    <t>⚠ باقي 24 يوم</t>
  </si>
  <si>
    <t>⚠ باقي 28 يوم</t>
  </si>
  <si>
    <t>26 يوم</t>
  </si>
  <si>
    <t>21 يوم</t>
  </si>
  <si>
    <t>18 يوم</t>
  </si>
  <si>
    <t>15 يوم</t>
  </si>
  <si>
    <t>6 أيام</t>
  </si>
  <si>
    <t>يوم واحد</t>
  </si>
  <si>
    <t>⚠ متأخر
32,800,838</t>
  </si>
  <si>
    <t>🔔 قريب الاستحقاق
6,646,553</t>
  </si>
  <si>
    <t>يومان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</si>
</sst>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167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8" fontId="25" fillId="0" borderId="0" xfId="0" applyNumberFormat="1" applyFont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9">
        <v>46315</v>
      </c>
      <c r="E3" s="19" t="s">
        <v>12</v>
      </c>
      <c r="F3" s="19" t="s">
        <v>10</v>
      </c>
      <c r="G3" s="19" t="s">
        <v>131</v>
      </c>
      <c r="H3" s="19"/>
      <c r="I3" s="19"/>
    </row>
    <row r="4" spans="1:9" x14ac:dyDescent="0.3">
      <c r="A4" s="19" t="s">
        <v>98</v>
      </c>
      <c r="B4" s="19">
        <v>74668</v>
      </c>
      <c r="C4" s="19">
        <v>1400000</v>
      </c>
      <c r="D4" s="89">
        <v>46325</v>
      </c>
      <c r="E4" s="19" t="s">
        <v>9</v>
      </c>
      <c r="F4" s="19" t="s">
        <v>10</v>
      </c>
      <c r="G4" s="19" t="s">
        <v>132</v>
      </c>
      <c r="H4" s="19"/>
      <c r="I4" s="19"/>
    </row>
    <row r="5" spans="1:9" x14ac:dyDescent="0.3">
      <c r="A5" s="19" t="s">
        <v>98</v>
      </c>
      <c r="B5" s="19">
        <v>74669</v>
      </c>
      <c r="C5" s="19">
        <v>1200000</v>
      </c>
      <c r="D5" s="89">
        <v>46325</v>
      </c>
      <c r="E5" s="19" t="s">
        <v>9</v>
      </c>
      <c r="F5" s="19" t="s">
        <v>10</v>
      </c>
      <c r="G5" s="19" t="s">
        <v>132</v>
      </c>
      <c r="H5" s="19"/>
      <c r="I5" s="19"/>
    </row>
    <row r="6" spans="1:9" x14ac:dyDescent="0.3">
      <c r="A6" s="19" t="s">
        <v>98</v>
      </c>
      <c r="B6" s="19">
        <v>74675</v>
      </c>
      <c r="C6" s="19">
        <v>2395732.5</v>
      </c>
      <c r="D6" s="89">
        <v>46332</v>
      </c>
      <c r="E6" s="19" t="s">
        <v>9</v>
      </c>
      <c r="F6" s="19" t="s">
        <v>10</v>
      </c>
      <c r="G6" s="19" t="s">
        <v>133</v>
      </c>
      <c r="H6" s="19"/>
      <c r="I6" s="19"/>
    </row>
    <row r="7" spans="1:9" x14ac:dyDescent="0.3">
      <c r="A7" s="19" t="s">
        <v>38</v>
      </c>
      <c r="B7" s="19"/>
      <c r="C7" s="19">
        <v>1923110</v>
      </c>
      <c r="D7" s="89">
        <v>46348</v>
      </c>
      <c r="E7" s="19"/>
      <c r="F7" s="19" t="s">
        <v>10</v>
      </c>
      <c r="G7" s="19" t="s">
        <v>134</v>
      </c>
      <c r="H7" s="19" t="s">
        <v>105</v>
      </c>
      <c r="I7" s="19"/>
    </row>
    <row r="8" spans="1:9" x14ac:dyDescent="0.3">
      <c r="A8" s="19" t="s">
        <v>11</v>
      </c>
      <c r="B8" s="19">
        <v>552585549</v>
      </c>
      <c r="C8" s="19">
        <v>805700</v>
      </c>
      <c r="D8" s="89">
        <v>46350</v>
      </c>
      <c r="E8" s="19" t="s">
        <v>12</v>
      </c>
      <c r="F8" s="19" t="s">
        <v>10</v>
      </c>
      <c r="G8" s="19" t="s">
        <v>135</v>
      </c>
      <c r="H8" s="19"/>
      <c r="I8" s="19"/>
    </row>
    <row r="9" spans="1:9" x14ac:dyDescent="0.3">
      <c r="A9" s="19" t="s">
        <v>11</v>
      </c>
      <c r="B9" s="19">
        <v>67491043</v>
      </c>
      <c r="C9" s="19">
        <v>304550</v>
      </c>
      <c r="D9" s="89">
        <v>46351</v>
      </c>
      <c r="E9" s="19" t="s">
        <v>97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11</v>
      </c>
      <c r="B10" s="19">
        <v>551695622</v>
      </c>
      <c r="C10" s="19">
        <v>855540</v>
      </c>
      <c r="D10" s="89">
        <v>46354</v>
      </c>
      <c r="E10" s="19" t="s">
        <v>12</v>
      </c>
      <c r="F10" s="19" t="s">
        <v>10</v>
      </c>
      <c r="G10" s="19" t="s">
        <v>136</v>
      </c>
      <c r="H10" s="19"/>
      <c r="I10" s="19"/>
    </row>
    <row r="11" spans="1:9" x14ac:dyDescent="0.3">
      <c r="A11" s="19"/>
      <c r="B11" s="19"/>
      <c r="C11" s="19"/>
      <c r="D11" s="20"/>
      <c r="E11" s="19"/>
      <c r="F11" s="19"/>
      <c r="G11" s="19"/>
      <c r="H11" s="19"/>
      <c r="I11" s="19"/>
    </row>
    <row r="12" spans="1:9" x14ac:dyDescent="0.3">
      <c r="A12" s="19"/>
      <c r="B12" s="19"/>
      <c r="C12" s="19"/>
      <c r="D12" s="20"/>
      <c r="E12" s="19"/>
      <c r="F12" s="19"/>
      <c r="G12" s="19"/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100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103</v>
      </c>
      <c r="B3" s="19">
        <v>77838207</v>
      </c>
      <c r="C3" s="32">
        <v>290000</v>
      </c>
      <c r="D3" s="20">
        <v>46342</v>
      </c>
      <c r="E3" s="19" t="s">
        <v>101</v>
      </c>
      <c r="F3" s="19" t="s">
        <v>102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103</v>
      </c>
      <c r="B4" s="19">
        <v>77838208</v>
      </c>
      <c r="C4" s="32">
        <v>289000</v>
      </c>
      <c r="D4" s="20">
        <v>46372</v>
      </c>
      <c r="E4" s="19" t="s">
        <v>101</v>
      </c>
      <c r="F4" s="19" t="s">
        <v>102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104</v>
      </c>
      <c r="B5" s="19">
        <v>77838188</v>
      </c>
      <c r="C5" s="32">
        <v>13281.81</v>
      </c>
      <c r="D5" s="20">
        <v>46336</v>
      </c>
      <c r="E5" s="19" t="s">
        <v>101</v>
      </c>
      <c r="F5" s="19" t="s">
        <v>102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119</v>
      </c>
      <c r="C2" s="51" t="s">
        <v>120</v>
      </c>
      <c r="D2" s="51" t="s">
        <v>89</v>
      </c>
      <c r="E2" s="51" t="s">
        <v>121</v>
      </c>
      <c r="F2" s="51" t="s">
        <v>87</v>
      </c>
      <c r="G2" s="51" t="s">
        <v>17</v>
      </c>
      <c r="H2" s="51" t="s">
        <v>18</v>
      </c>
      <c r="I2" s="51" t="s">
        <v>107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9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9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9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9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9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9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9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9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9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9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9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9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9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9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9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9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9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9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9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9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9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90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90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90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90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90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90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90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90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90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90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90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9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9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9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9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9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9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9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9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9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9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9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9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9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9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9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9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9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9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9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9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9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9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9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9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9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9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9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9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9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9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9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9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9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9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9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9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9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9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9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9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9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9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9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9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9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9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9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9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9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9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9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9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9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9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9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9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9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9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9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9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9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9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9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9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9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9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9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9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9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9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9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9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9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9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9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9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9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9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9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9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9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9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9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9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9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9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9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9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9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9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9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9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9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9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9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9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9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9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9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9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9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9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9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9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9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9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9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9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9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9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9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9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9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9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9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9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9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9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9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9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9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9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9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9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9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9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9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9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9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9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9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9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9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9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9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9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9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9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108</v>
      </c>
      <c r="F173" s="89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9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9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9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9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9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9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9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9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9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9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109</v>
      </c>
      <c r="F184" s="89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9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9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9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9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9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9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9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9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110</v>
      </c>
      <c r="F193" s="89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9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9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9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9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9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9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9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9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111</v>
      </c>
      <c r="F202" s="89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9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9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9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9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9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9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9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98</v>
      </c>
      <c r="B210" s="32">
        <v>38000</v>
      </c>
      <c r="C210" s="32">
        <v>40000</v>
      </c>
      <c r="D210" s="31">
        <v>52</v>
      </c>
      <c r="E210" s="19" t="s">
        <v>112</v>
      </c>
      <c r="F210" s="89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98</v>
      </c>
      <c r="B211" s="32">
        <v>38000</v>
      </c>
      <c r="C211" s="32">
        <v>40000</v>
      </c>
      <c r="D211" s="31">
        <v>52</v>
      </c>
      <c r="F211" s="89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98</v>
      </c>
      <c r="B212" s="32">
        <v>38000</v>
      </c>
      <c r="C212" s="32">
        <v>40000</v>
      </c>
      <c r="D212" s="31">
        <v>52</v>
      </c>
      <c r="F212" s="89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98</v>
      </c>
      <c r="B213" s="32">
        <v>38000</v>
      </c>
      <c r="C213" s="32">
        <v>40000</v>
      </c>
      <c r="D213" s="31">
        <v>52</v>
      </c>
      <c r="F213" s="89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113</v>
      </c>
      <c r="F214" s="89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9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9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9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9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9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113</v>
      </c>
      <c r="F220" s="89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98</v>
      </c>
      <c r="B221" s="32">
        <v>39900</v>
      </c>
      <c r="C221" s="32">
        <v>41000</v>
      </c>
      <c r="D221" s="31">
        <v>55</v>
      </c>
      <c r="E221" s="19" t="s">
        <v>112</v>
      </c>
      <c r="F221" s="89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98</v>
      </c>
      <c r="B222" s="32">
        <v>39900</v>
      </c>
      <c r="C222" s="32">
        <v>41000</v>
      </c>
      <c r="D222" s="31">
        <v>55</v>
      </c>
      <c r="F222" s="89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98</v>
      </c>
      <c r="B223" s="32">
        <v>39900</v>
      </c>
      <c r="C223" s="32">
        <v>41000</v>
      </c>
      <c r="D223" s="31">
        <v>55</v>
      </c>
      <c r="F223" s="89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98</v>
      </c>
      <c r="B224" s="32">
        <v>39900</v>
      </c>
      <c r="C224" s="32">
        <v>41000</v>
      </c>
      <c r="D224" s="31">
        <v>55</v>
      </c>
      <c r="F224" s="89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98</v>
      </c>
      <c r="B225" s="32">
        <v>38000</v>
      </c>
      <c r="C225" s="32">
        <v>41000</v>
      </c>
      <c r="D225" s="31">
        <v>55</v>
      </c>
      <c r="F225" s="89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114</v>
      </c>
      <c r="F226" s="89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9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9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9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9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9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9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9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9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9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113</v>
      </c>
      <c r="F236" s="89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9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9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9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9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9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9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9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9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9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9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9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9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115</v>
      </c>
      <c r="F249" s="89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9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9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9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9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9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116</v>
      </c>
      <c r="F255" s="89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9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9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9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116</v>
      </c>
      <c r="F259" s="89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9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9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9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9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9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114</v>
      </c>
      <c r="F265" s="89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9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9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9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9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114</v>
      </c>
      <c r="F270" s="89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9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9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9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113</v>
      </c>
      <c r="F274" s="89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113</v>
      </c>
      <c r="F275" s="89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99</v>
      </c>
      <c r="B276" s="32">
        <v>41150</v>
      </c>
      <c r="C276" s="32">
        <v>42500</v>
      </c>
      <c r="D276" s="31">
        <v>70</v>
      </c>
      <c r="E276" s="19" t="s">
        <v>117</v>
      </c>
      <c r="F276" s="89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99</v>
      </c>
      <c r="B277" s="32">
        <v>41150</v>
      </c>
      <c r="C277" s="32">
        <v>42500</v>
      </c>
      <c r="D277" s="31">
        <v>70</v>
      </c>
      <c r="F277" s="89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99</v>
      </c>
      <c r="B278" s="32">
        <v>41150</v>
      </c>
      <c r="C278" s="32">
        <v>42500</v>
      </c>
      <c r="D278" s="31">
        <v>70</v>
      </c>
      <c r="F278" s="89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99</v>
      </c>
      <c r="B279" s="32">
        <v>38500</v>
      </c>
      <c r="C279" s="32">
        <v>42500</v>
      </c>
      <c r="D279" s="31">
        <v>70</v>
      </c>
      <c r="F279" s="89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113</v>
      </c>
      <c r="F280" s="89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9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9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98</v>
      </c>
      <c r="B283" s="32">
        <v>39800</v>
      </c>
      <c r="C283" s="32">
        <v>41000</v>
      </c>
      <c r="D283" s="31">
        <v>72</v>
      </c>
      <c r="E283" s="19" t="s">
        <v>118</v>
      </c>
      <c r="F283" s="89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98</v>
      </c>
      <c r="B284" s="32">
        <v>39800</v>
      </c>
      <c r="C284" s="32">
        <v>41000</v>
      </c>
      <c r="D284" s="31">
        <v>72</v>
      </c>
      <c r="F284" s="89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98</v>
      </c>
      <c r="B285" s="32">
        <v>4050</v>
      </c>
      <c r="C285" s="32">
        <v>4200</v>
      </c>
      <c r="D285" s="31">
        <v>72</v>
      </c>
      <c r="F285" s="89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98</v>
      </c>
      <c r="B286" s="32">
        <v>4050</v>
      </c>
      <c r="C286" s="32">
        <v>4200</v>
      </c>
      <c r="D286" s="31">
        <v>72</v>
      </c>
      <c r="F286" s="89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114</v>
      </c>
      <c r="F287" s="89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9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9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9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A291" s="19" t="s">
        <v>11</v>
      </c>
      <c r="C291" s="32">
        <v>42000</v>
      </c>
      <c r="D291" s="31">
        <v>74</v>
      </c>
      <c r="F291" s="89">
        <v>46325</v>
      </c>
      <c r="G291" s="33">
        <v>0</v>
      </c>
      <c r="H291" s="33">
        <v>836220</v>
      </c>
      <c r="I291" s="33">
        <v>19.91</v>
      </c>
    </row>
    <row r="292" spans="1:16" x14ac:dyDescent="0.3">
      <c r="A292" s="19" t="s">
        <v>11</v>
      </c>
      <c r="C292" s="32">
        <v>42000</v>
      </c>
      <c r="D292" s="31">
        <v>74</v>
      </c>
      <c r="F292" s="89">
        <v>46325</v>
      </c>
      <c r="G292" s="33">
        <v>0</v>
      </c>
      <c r="H292" s="33">
        <v>828450.00000000012</v>
      </c>
      <c r="I292" s="33">
        <v>19.725000000000001</v>
      </c>
    </row>
    <row r="293" spans="1:16" x14ac:dyDescent="0.3">
      <c r="A293" s="19" t="s">
        <v>11</v>
      </c>
      <c r="C293" s="32">
        <v>42000</v>
      </c>
      <c r="D293" s="31">
        <v>74</v>
      </c>
      <c r="F293" s="89">
        <v>46325</v>
      </c>
      <c r="G293" s="33">
        <v>0</v>
      </c>
      <c r="H293" s="33">
        <v>502110</v>
      </c>
      <c r="I293" s="33">
        <v>11.955</v>
      </c>
    </row>
    <row r="294" spans="1:16" x14ac:dyDescent="0.3">
      <c r="A294" s="19" t="s">
        <v>11</v>
      </c>
      <c r="C294" s="32">
        <v>42000</v>
      </c>
      <c r="D294" s="31">
        <v>74</v>
      </c>
      <c r="F294" s="89">
        <v>46325</v>
      </c>
      <c r="G294" s="33">
        <v>0</v>
      </c>
      <c r="H294" s="33">
        <v>2084040</v>
      </c>
      <c r="I294" s="33">
        <v>49.62</v>
      </c>
    </row>
    <row r="295" spans="1:16" x14ac:dyDescent="0.3">
      <c r="A295" s="19" t="s">
        <v>15</v>
      </c>
      <c r="C295" s="32">
        <v>42400</v>
      </c>
      <c r="D295" s="31">
        <v>75</v>
      </c>
      <c r="F295" s="89">
        <v>46326</v>
      </c>
      <c r="G295" s="33">
        <v>0</v>
      </c>
      <c r="H295" s="33">
        <v>445836</v>
      </c>
      <c r="I295" s="33">
        <v>10.515000000000001</v>
      </c>
    </row>
    <row r="296" spans="1:16" x14ac:dyDescent="0.3">
      <c r="A296" s="19" t="s">
        <v>15</v>
      </c>
      <c r="C296" s="32">
        <v>42400</v>
      </c>
      <c r="D296" s="31">
        <v>75</v>
      </c>
      <c r="F296" s="89">
        <v>46326</v>
      </c>
      <c r="G296" s="33">
        <v>0</v>
      </c>
      <c r="H296" s="33">
        <v>671616</v>
      </c>
      <c r="I296" s="33">
        <v>15.84</v>
      </c>
    </row>
    <row r="297" spans="1:16" x14ac:dyDescent="0.3">
      <c r="A297" s="19" t="s">
        <v>15</v>
      </c>
      <c r="C297" s="32">
        <v>42400</v>
      </c>
      <c r="D297" s="31">
        <v>75</v>
      </c>
      <c r="F297" s="89">
        <v>46326</v>
      </c>
      <c r="G297" s="33">
        <v>0</v>
      </c>
      <c r="H297" s="33">
        <v>3096048</v>
      </c>
      <c r="I297" s="33">
        <v>73.02</v>
      </c>
    </row>
    <row r="298" spans="1:16" x14ac:dyDescent="0.3">
      <c r="A298" s="19" t="s">
        <v>15</v>
      </c>
      <c r="C298" s="32">
        <v>42400</v>
      </c>
      <c r="D298" s="31">
        <v>75</v>
      </c>
      <c r="F298" s="89">
        <v>46326</v>
      </c>
      <c r="G298" s="33">
        <v>0</v>
      </c>
      <c r="H298" s="33">
        <v>2739888</v>
      </c>
      <c r="I298" s="33">
        <v>64.62</v>
      </c>
    </row>
    <row r="299" spans="1:16" x14ac:dyDescent="0.3">
      <c r="A299" s="19" t="s">
        <v>15</v>
      </c>
      <c r="C299" s="32">
        <v>42400</v>
      </c>
      <c r="D299" s="31">
        <v>75</v>
      </c>
      <c r="F299" s="89">
        <v>46326</v>
      </c>
      <c r="G299" s="33">
        <v>0</v>
      </c>
      <c r="H299" s="33">
        <v>842700</v>
      </c>
      <c r="I299" s="33">
        <v>19.875</v>
      </c>
    </row>
    <row r="300" spans="1:16" x14ac:dyDescent="0.3">
      <c r="A300" s="19" t="s">
        <v>15</v>
      </c>
      <c r="C300" s="32">
        <v>42400</v>
      </c>
      <c r="D300" s="31">
        <v>75</v>
      </c>
      <c r="F300" s="89">
        <v>46326</v>
      </c>
      <c r="G300" s="33">
        <v>0</v>
      </c>
      <c r="H300" s="33">
        <v>678612</v>
      </c>
      <c r="I300" s="33">
        <v>16.004999999999999</v>
      </c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19" sqref="A19:L38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8" t="s">
        <v>88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28.8" customHeight="1" x14ac:dyDescent="0.3">
      <c r="A2" s="36" t="s">
        <v>143</v>
      </c>
      <c r="B2" s="80" t="s">
        <v>144</v>
      </c>
      <c r="C2" s="81"/>
      <c r="D2" s="37" t="s">
        <v>123</v>
      </c>
      <c r="E2" s="38" t="s">
        <v>122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478938216.93640363</v>
      </c>
      <c r="E3" s="62">
        <v>300376132.27412283</v>
      </c>
      <c r="F3" s="61"/>
      <c r="G3" s="61">
        <v>300376132.27412283</v>
      </c>
      <c r="H3" s="63">
        <v>232886118.84777775</v>
      </c>
      <c r="I3" s="61">
        <v>67490013.426345021</v>
      </c>
      <c r="J3" s="61">
        <v>32800837.542134501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98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137</v>
      </c>
      <c r="L5" s="54" t="s">
        <v>106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138</v>
      </c>
      <c r="L6" s="54" t="s">
        <v>106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139</v>
      </c>
      <c r="L7" s="54" t="s">
        <v>106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139</v>
      </c>
      <c r="L8" s="54" t="s">
        <v>106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139</v>
      </c>
      <c r="L9" s="54" t="s">
        <v>106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127</v>
      </c>
      <c r="L10" s="54" t="s">
        <v>106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140</v>
      </c>
      <c r="L11" s="54" t="s">
        <v>106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128</v>
      </c>
      <c r="L12" s="54" t="s">
        <v>106</v>
      </c>
    </row>
    <row r="13" spans="1:12" ht="17.399999999999999" customHeight="1" x14ac:dyDescent="0.35">
      <c r="A13" s="65">
        <v>72</v>
      </c>
      <c r="B13" s="71" t="s">
        <v>98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128</v>
      </c>
      <c r="L13" s="54" t="s">
        <v>106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125</v>
      </c>
      <c r="L14" s="54" t="s">
        <v>106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106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106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141</v>
      </c>
      <c r="L17" s="54" t="s">
        <v>106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141</v>
      </c>
      <c r="L18" s="54" t="s">
        <v>106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141</v>
      </c>
      <c r="L19" s="54" t="s">
        <v>106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129</v>
      </c>
      <c r="L20" s="54" t="s">
        <v>106</v>
      </c>
    </row>
    <row r="21" spans="1:12" ht="17.399999999999999" customHeight="1" x14ac:dyDescent="0.35">
      <c r="A21" s="45">
        <v>52</v>
      </c>
      <c r="B21" s="64" t="s">
        <v>98</v>
      </c>
      <c r="C21" s="67">
        <v>46297</v>
      </c>
      <c r="D21" s="68">
        <v>5384800</v>
      </c>
      <c r="E21" s="70" t="s">
        <v>82</v>
      </c>
      <c r="F21" s="67">
        <v>46325</v>
      </c>
      <c r="G21" s="68">
        <v>2599999.9999999991</v>
      </c>
      <c r="H21" s="68">
        <v>0</v>
      </c>
      <c r="I21" s="68">
        <v>2599999.9999999991</v>
      </c>
      <c r="J21" s="68">
        <v>2599999.9999999991</v>
      </c>
      <c r="K21" s="69" t="s">
        <v>145</v>
      </c>
      <c r="L21" s="66" t="s">
        <v>106</v>
      </c>
    </row>
    <row r="22" spans="1:12" ht="17.399999999999999" customHeight="1" x14ac:dyDescent="0.35">
      <c r="A22" s="42">
        <v>75</v>
      </c>
      <c r="B22" s="73" t="s">
        <v>15</v>
      </c>
      <c r="C22" s="56">
        <v>46326</v>
      </c>
      <c r="D22" s="55">
        <v>8400360.5263157897</v>
      </c>
      <c r="E22" s="54" t="s">
        <v>83</v>
      </c>
      <c r="F22" s="56">
        <v>46326</v>
      </c>
      <c r="G22" s="55">
        <v>8400360.5263157897</v>
      </c>
      <c r="H22" s="55">
        <v>8269874.4199999999</v>
      </c>
      <c r="I22" s="55">
        <v>130486.10631578974</v>
      </c>
      <c r="J22" s="55">
        <v>130486.10631578974</v>
      </c>
      <c r="K22" s="57" t="s">
        <v>142</v>
      </c>
      <c r="L22" s="54" t="s">
        <v>106</v>
      </c>
    </row>
    <row r="23" spans="1:12" ht="17.399999999999999" customHeight="1" x14ac:dyDescent="0.35">
      <c r="A23" s="48">
        <v>55</v>
      </c>
      <c r="B23" s="72" t="s">
        <v>98</v>
      </c>
      <c r="C23" s="56">
        <v>46301</v>
      </c>
      <c r="D23" s="55">
        <v>4791465</v>
      </c>
      <c r="E23" s="54" t="s">
        <v>82</v>
      </c>
      <c r="F23" s="56">
        <v>46332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130</v>
      </c>
    </row>
    <row r="24" spans="1:12" ht="17.399999999999999" customHeight="1" x14ac:dyDescent="0.35">
      <c r="A24" s="48">
        <v>74</v>
      </c>
      <c r="B24" s="73" t="s">
        <v>11</v>
      </c>
      <c r="C24" s="56">
        <v>46325</v>
      </c>
      <c r="D24" s="55">
        <v>4250820</v>
      </c>
      <c r="E24" s="54" t="s">
        <v>82</v>
      </c>
      <c r="F24" s="56">
        <v>46332</v>
      </c>
      <c r="G24" s="55">
        <v>4250820</v>
      </c>
      <c r="H24" s="55">
        <v>0</v>
      </c>
      <c r="I24" s="55">
        <v>4250820</v>
      </c>
      <c r="J24" s="55">
        <v>0</v>
      </c>
      <c r="K24" s="57"/>
      <c r="L24" s="54" t="s">
        <v>130</v>
      </c>
    </row>
    <row r="25" spans="1:12" ht="17.399999999999999" customHeight="1" x14ac:dyDescent="0.35">
      <c r="A25" s="48">
        <v>62</v>
      </c>
      <c r="B25" s="72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72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71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72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70" t="s">
        <v>98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72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1" t="s">
        <v>38</v>
      </c>
      <c r="C31" s="56">
        <v>46286</v>
      </c>
      <c r="D31" s="55">
        <v>1923110</v>
      </c>
      <c r="E31" s="54" t="s">
        <v>82</v>
      </c>
      <c r="F31" s="56">
        <v>46348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57</v>
      </c>
      <c r="B32" s="72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51</v>
      </c>
      <c r="B33" s="72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64</v>
      </c>
      <c r="B34" s="70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72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70</v>
      </c>
      <c r="B36" s="72" t="s">
        <v>99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2">
        <v>73</v>
      </c>
      <c r="B37" s="70" t="s">
        <v>8</v>
      </c>
      <c r="C37" s="75">
        <v>46314</v>
      </c>
      <c r="D37" s="76">
        <v>5926550.6491228072</v>
      </c>
      <c r="E37" s="70" t="s">
        <v>84</v>
      </c>
      <c r="F37" s="75">
        <v>46375</v>
      </c>
      <c r="G37" s="76">
        <v>1777965.1947368421</v>
      </c>
      <c r="H37" s="76">
        <v>0</v>
      </c>
      <c r="I37" s="76">
        <v>1777965.1947368421</v>
      </c>
      <c r="J37" s="76">
        <v>0</v>
      </c>
      <c r="K37" s="77"/>
      <c r="L37" s="70" t="s">
        <v>85</v>
      </c>
    </row>
    <row r="38" spans="1:12" ht="17.399999999999999" customHeight="1" x14ac:dyDescent="0.35">
      <c r="A38" s="42">
        <v>57</v>
      </c>
      <c r="B38" s="70" t="s">
        <v>8</v>
      </c>
      <c r="C38" s="75">
        <v>46304</v>
      </c>
      <c r="D38" s="76">
        <v>12289987.052631579</v>
      </c>
      <c r="E38" s="70" t="s">
        <v>84</v>
      </c>
      <c r="F38" s="75">
        <v>46379</v>
      </c>
      <c r="G38" s="76">
        <v>3686996.1157894735</v>
      </c>
      <c r="H38" s="76">
        <v>0</v>
      </c>
      <c r="I38" s="76">
        <v>3686996.1157894735</v>
      </c>
      <c r="J38" s="76">
        <v>0</v>
      </c>
      <c r="K38" s="77"/>
      <c r="L38" s="70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8">
    <cfRule type="cellIs" dxfId="7" priority="6" operator="greaterThan">
      <formula>0</formula>
    </cfRule>
  </conditionalFormatting>
  <conditionalFormatting sqref="L5:L38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7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2" t="s">
        <v>40</v>
      </c>
      <c r="B1" s="83"/>
      <c r="C1" s="83"/>
      <c r="I1" s="86" t="s">
        <v>41</v>
      </c>
      <c r="J1" s="87"/>
      <c r="K1" s="87"/>
    </row>
    <row r="2" spans="1:11" ht="15.6" x14ac:dyDescent="0.3">
      <c r="A2" s="2" t="s">
        <v>42</v>
      </c>
      <c r="B2" s="84">
        <f>SUM(B4:B3000)-SUM(C4:C3000)</f>
        <v>67319256.404122859</v>
      </c>
      <c r="C2" s="85"/>
      <c r="I2" s="3" t="s">
        <v>42</v>
      </c>
      <c r="J2" s="84">
        <f>SUM(J4:J3000)-SUM(K4:K3000)</f>
        <v>-70822606</v>
      </c>
      <c r="K2" s="85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5251.3808771893382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22323118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98</v>
      </c>
      <c r="B11" s="7">
        <v>6550363</v>
      </c>
      <c r="C11" s="7">
        <v>0</v>
      </c>
    </row>
    <row r="12" spans="1:11" ht="18" customHeight="1" x14ac:dyDescent="0.35">
      <c r="A12" s="6" t="s">
        <v>99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8" t="s">
        <v>69</v>
      </c>
      <c r="B1" s="88"/>
      <c r="C1" s="88"/>
      <c r="D1" s="88"/>
    </row>
    <row r="2" spans="1:4" x14ac:dyDescent="0.3">
      <c r="A2" s="21" t="s">
        <v>70</v>
      </c>
      <c r="B2" s="22">
        <v>18</v>
      </c>
      <c r="C2" s="23">
        <v>32800837.542134501</v>
      </c>
      <c r="D2" s="24">
        <v>12.444444444445253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98</v>
      </c>
      <c r="B4" s="26">
        <v>3</v>
      </c>
      <c r="C4" s="27">
        <v>2627715.4999999991</v>
      </c>
      <c r="D4" s="28">
        <v>14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15</v>
      </c>
      <c r="B6" s="26">
        <v>1</v>
      </c>
      <c r="C6" s="27">
        <v>130486.10631578974</v>
      </c>
      <c r="D6" s="28">
        <v>1</v>
      </c>
    </row>
    <row r="7" spans="1:4" x14ac:dyDescent="0.3">
      <c r="A7" s="29" t="s">
        <v>8</v>
      </c>
      <c r="B7" s="26">
        <v>8</v>
      </c>
      <c r="C7" s="27">
        <v>22466515.935818713</v>
      </c>
      <c r="D7" s="28">
        <v>12.5</v>
      </c>
    </row>
    <row r="8" spans="1:4" x14ac:dyDescent="0.3">
      <c r="A8" s="29" t="s">
        <v>11</v>
      </c>
      <c r="B8" s="26">
        <v>5</v>
      </c>
      <c r="C8" s="27">
        <v>7558815</v>
      </c>
      <c r="D8" s="28">
        <v>12.80000000000291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W6lmPtG2znVRkN71Upp0MQ3E82LovJaWuWwDSxNb/yqItpZKv5VVQLJSRP1RUo1NYAetGjh9tHV+jKJj+GdBoQ==" saltValue="u+deUWJkOWo1od2o43Qan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2026-10-31T17:19:24Z</dcterms:modified>
</cp:coreProperties>
</file>