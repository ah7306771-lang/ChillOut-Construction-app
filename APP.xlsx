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3ACB73E5-22A6-4E90-8F94-1B78F14FBECD}" xr6:coauthVersionLast="47" xr6:coauthVersionMax="47" xr10:uidLastSave="{00000000-0000-0000-0000-000000000000}"/>
  <bookViews>
    <workbookView minimized="1" xWindow="7032" yWindow="348" windowWidth="12504" windowHeight="8964" firstSheet="6" activeTab="6" xr2:uid="{00000000-000D-0000-FFFF-FFFF00000000}"/>
  </bookViews>
  <sheets>
    <sheet name="الشيكات" sheetId="1" r:id="rId1"/>
    <sheet name="شيكات علينا" sheetId="7" r:id="rId2"/>
    <sheet name="اخر سعر شراء  وبيع" sheetId="2" r:id="rId3"/>
    <sheet name="الاقساط" sheetId="6" r:id="rId4"/>
    <sheet name="العملاء والموردين" sheetId="3" r:id="rId5"/>
    <sheet name="الرواتب" sheetId="4" r:id="rId6"/>
    <sheet name="اجمالي متأخرات" sheetId="5" r:id="rId7"/>
  </sheets>
  <definedNames>
    <definedName name="_xlnm._FilterDatabase" localSheetId="2" hidden="1">'اخر سعر شراء  وبيع'!$A$2:$J$181</definedName>
    <definedName name="_xlnm._FilterDatabase" localSheetId="3" hidden="1">الاقساط!$A$4:$BF$3991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G4" i="7" l="1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3" i="7"/>
  <c r="J12" i="4" l="1"/>
  <c r="J11" i="4"/>
  <c r="I10" i="4"/>
  <c r="F10" i="4"/>
  <c r="I9" i="4"/>
  <c r="F9" i="4"/>
  <c r="I8" i="4"/>
  <c r="F8" i="4"/>
  <c r="I7" i="4"/>
  <c r="F7" i="4"/>
  <c r="I6" i="4"/>
  <c r="F6" i="4"/>
  <c r="I5" i="4"/>
  <c r="F5" i="4"/>
  <c r="I4" i="4"/>
  <c r="F4" i="4"/>
  <c r="I3" i="4"/>
  <c r="F3" i="4"/>
  <c r="I2" i="4"/>
  <c r="F2" i="4"/>
  <c r="J5" i="4" l="1"/>
  <c r="J9" i="4"/>
  <c r="J8" i="4"/>
  <c r="J4" i="4"/>
  <c r="J2" i="4"/>
  <c r="J6" i="4"/>
  <c r="J10" i="4"/>
  <c r="J3" i="4"/>
  <c r="J7" i="4"/>
</calcChain>
</file>

<file path=xl/sharedStrings.xml><?xml version="1.0" encoding="utf-8"?>
<sst xmlns="http://schemas.openxmlformats.org/spreadsheetml/2006/main" count="739" uniqueCount="149">
  <si>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</si>
  <si>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</si>
  <si>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</si>
  <si>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</si>
  <si>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</si>
  <si>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</si>
  <si>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</si>
  <si>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</si>
  <si>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</si>
  <si>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</si>
  <si>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</si>
  <si>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ويكادي</t>
  </si>
  <si>
    <t>CIB</t>
  </si>
  <si>
    <t>خالد صبري</t>
  </si>
  <si>
    <t>الشركة المتحده</t>
  </si>
  <si>
    <t>سامكريت مصر</t>
  </si>
  <si>
    <t>اسم العميل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</si>
  <si>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</si>
  <si>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</si>
  <si>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</si>
  <si>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</si>
  <si>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</si>
  <si>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</si>
  <si>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</si>
  <si>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</si>
  <si>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</si>
  <si>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</si>
  <si>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</si>
  <si>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</si>
  <si>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</si>
  <si>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</si>
  <si>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</si>
  <si>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</si>
  <si>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</si>
  <si>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</si>
  <si>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</si>
  <si>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</si>
  <si>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</si>
  <si>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</si>
  <si>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</si>
  <si>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</si>
  <si>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</si>
  <si>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</si>
  <si>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</si>
  <si>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</si>
  <si>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</si>
  <si>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</si>
  <si>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</si>
  <si>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</si>
  <si>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</si>
  <si>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</si>
  <si>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</si>
  <si>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</si>
  <si>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</si>
  <si>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</si>
  <si>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</si>
  <si>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</si>
  <si>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</si>
  <si>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</si>
  <si>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</si>
  <si>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</si>
  <si>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</si>
  <si>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</si>
  <si>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</si>
  <si>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</si>
  <si>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</si>
  <si>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</si>
  <si>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</si>
  <si>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</si>
  <si>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</si>
  <si>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</si>
  <si>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</si>
  <si>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</si>
  <si>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</si>
  <si>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</si>
  <si>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</si>
  <si>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</si>
  <si>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</si>
  <si>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</si>
  <si>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</si>
  <si>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</si>
  <si>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</si>
  <si>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القسط 1</t>
  </si>
  <si>
    <t>نقدي</t>
  </si>
  <si>
    <t>القسط 2</t>
  </si>
  <si>
    <t>🟢 جارٍ</t>
  </si>
  <si>
    <t>القسط 3</t>
  </si>
  <si>
    <t>تاريخ التحميل</t>
  </si>
  <si>
    <t>📋 سجل الأقساط والمستحقات</t>
  </si>
  <si>
    <t>أمر البيع</t>
  </si>
  <si>
    <t>القسط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</si>
  <si>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</si>
  <si>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</si>
  <si>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</si>
  <si>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</si>
  <si>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</si>
  <si>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</si>
  <si>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QNB</t>
  </si>
  <si>
    <t>WAFA</t>
  </si>
  <si>
    <t>الامين</t>
  </si>
  <si>
    <t>مصطفي عمر</t>
  </si>
  <si>
    <t>المورد</t>
  </si>
  <si>
    <t>حديد المصريين</t>
  </si>
  <si>
    <t>مصر</t>
  </si>
  <si>
    <t>أ.د</t>
  </si>
  <si>
    <t>ياسر خشب</t>
  </si>
  <si>
    <t>نظافه - شيل سيتي</t>
  </si>
  <si>
    <t>في ترانس</t>
  </si>
  <si>
    <t>⚠ مستحق</t>
  </si>
  <si>
    <t>8 أيام</t>
  </si>
  <si>
    <t>الوزن الفعلي</t>
  </si>
  <si>
    <t>T1</t>
  </si>
  <si>
    <t>كاش 25% - شيك اجل 30 يوم</t>
  </si>
  <si>
    <t>اجل 60 يوم</t>
  </si>
  <si>
    <t>شيك 30 يوم 50 % - شيك 60 يوم 50%</t>
  </si>
  <si>
    <t>كاش 50% - 50 % شيك اجل 30 يوم</t>
  </si>
  <si>
    <t>كاش 100 %</t>
  </si>
  <si>
    <t>كاش 40% - 30% شيك اجل 45 يوم - 30% شيك اجل 75 يوم</t>
  </si>
  <si>
    <t>100% كاش</t>
  </si>
  <si>
    <t>كاش 25 % - باقي اجل 30 يوم</t>
  </si>
  <si>
    <t>اجل  60 يوم</t>
  </si>
  <si>
    <t>كاش 50 % - اجل 50% كاش</t>
  </si>
  <si>
    <t>سعر الشراء</t>
  </si>
  <si>
    <t>سعر البيع</t>
  </si>
  <si>
    <t>طريقة السداد</t>
  </si>
  <si>
    <t>13 يوم</t>
  </si>
  <si>
    <t>9 أيام</t>
  </si>
  <si>
    <t>⚠ باقي 29 يوم</t>
  </si>
  <si>
    <t>🟢 جارٍ
28,042,623</t>
  </si>
  <si>
    <t>14 يوم</t>
  </si>
  <si>
    <t>10 أيام</t>
  </si>
  <si>
    <t>يوم واحد</t>
  </si>
  <si>
    <t>🔔 قريب</t>
  </si>
  <si>
    <t>⚠ شيك متأخر 7 يوم</t>
  </si>
  <si>
    <t>⚠ شيك متأخر 2 يوم</t>
  </si>
  <si>
    <t>⚠ باقي 1 يوم</t>
  </si>
  <si>
    <t>⚠ باقي 3 يوم</t>
  </si>
  <si>
    <t>⚠ باقي 10 يوم</t>
  </si>
  <si>
    <t>⚠ باقي 26 يوم</t>
  </si>
  <si>
    <t>⚠ باقي 28 يوم</t>
  </si>
  <si>
    <t>⚠ باقي 32 يوم</t>
  </si>
  <si>
    <t>🔔 قريب الاستحقاق
4,995,733</t>
  </si>
  <si>
    <t>22 يوم</t>
  </si>
  <si>
    <t>17 يوم</t>
  </si>
  <si>
    <t>11 يوم</t>
  </si>
  <si>
    <t>يومان</t>
  </si>
  <si>
    <t>🔔 متبقي 5 أيام</t>
  </si>
  <si>
    <t>⚠ متأخر
41,320,351</t>
  </si>
  <si>
    <t>✅ مسدّد
194,049,435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</si>
</sst>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1F4E78"/>
      <name val="Calibri"/>
      <family val="2"/>
    </font>
    <font>
      <b/>
      <sz val="13"/>
      <color rgb="FF548235"/>
      <name val="Calibri"/>
      <family val="2"/>
    </font>
    <font>
      <b/>
      <sz val="13"/>
      <color rgb="FFFFFFFF"/>
      <name val="Calibri"/>
      <family val="2"/>
    </font>
    <font>
      <b/>
      <sz val="13"/>
      <color rgb="FFC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6" fillId="8" borderId="11" xfId="0" applyFont="1" applyFill="1" applyBorder="1" applyAlignment="1">
      <alignment horizontal="center" vertical="center" wrapText="1"/>
    </xf>
    <xf numFmtId="0" fontId="15" fillId="10" borderId="11" xfId="0" applyFont="1" applyFill="1" applyBorder="1" applyAlignment="1">
      <alignment horizontal="center" vertical="center" wrapText="1"/>
    </xf>
    <xf numFmtId="0" fontId="13" fillId="11" borderId="11" xfId="0" applyFont="1" applyFill="1" applyBorder="1" applyAlignment="1">
      <alignment horizontal="center" vertical="center" wrapText="1"/>
    </xf>
    <xf numFmtId="0" fontId="19" fillId="1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3" borderId="13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9" fillId="0" borderId="8" xfId="0" applyFont="1" applyBorder="1"/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4" fontId="1" fillId="0" borderId="1" xfId="0" applyNumberFormat="1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8" fontId="2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5" fontId="22" fillId="0" borderId="16" xfId="0" applyNumberFormat="1" applyFont="1" applyBorder="1" applyAlignment="1">
      <alignment horizontal="center" vertical="center"/>
    </xf>
    <xf numFmtId="165" fontId="13" fillId="0" borderId="16" xfId="0" applyNumberFormat="1" applyFont="1" applyBorder="1" applyAlignment="1">
      <alignment horizontal="center" vertical="center"/>
    </xf>
    <xf numFmtId="165" fontId="2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7" fontId="3" fillId="0" borderId="18" xfId="0" applyNumberFormat="1" applyFont="1" applyBorder="1" applyAlignment="1">
      <alignment horizontal="center"/>
    </xf>
    <xf numFmtId="165" fontId="3" fillId="0" borderId="18" xfId="0" applyNumberFormat="1" applyFont="1" applyBorder="1" applyAlignment="1">
      <alignment horizontal="center"/>
    </xf>
    <xf numFmtId="168" fontId="25" fillId="0" borderId="18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7" fillId="12" borderId="10" xfId="0" applyFont="1" applyFill="1" applyBorder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8" fillId="13" borderId="11" xfId="0" applyFont="1" applyFill="1" applyBorder="1" applyAlignment="1">
      <alignment horizontal="center" vertical="center" wrapText="1"/>
    </xf>
    <xf numFmtId="0" fontId="18" fillId="13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" fontId="20" fillId="3" borderId="1" xfId="0" applyNumberFormat="1" applyFont="1" applyFill="1" applyBorder="1" applyAlignment="1">
      <alignment horizontal="center"/>
    </xf>
    <xf numFmtId="0" fontId="21" fillId="0" borderId="9" xfId="0" applyFont="1" applyBorder="1"/>
    <xf numFmtId="0" fontId="20" fillId="0" borderId="0" xfId="0" applyFont="1" applyAlignment="1">
      <alignment horizontal="center"/>
    </xf>
    <xf numFmtId="0" fontId="20" fillId="0" borderId="0" xfId="0" applyFont="1"/>
    <xf numFmtId="0" fontId="7" fillId="7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5" xfId="0" applyFont="1" applyBorder="1" applyAlignment="1">
      <alignment horizontal="center"/>
    </xf>
  </cellXfs>
  <cellStyles count="1">
    <cellStyle name="Normal" xfId="0" builtinId="0"/>
  </cellStyles>
  <dxfs count="465"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0A57FA6-7971-4FBB-9B60-62576DBCDC0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3400a22-7338-44a1-b24e-25aec6e7fd8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2C4F668-4635-4AF9-8A1D-D449BAE98BD9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1ec4c094-9b34-4f8f-97a0-2f21f826321b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54"/>
  <sheetViews>
    <sheetView rightToLeft="1" workbookViewId="0">
      <selection activeCell="F4" sqref="F4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11</v>
      </c>
      <c r="B3" s="19">
        <v>551298792</v>
      </c>
      <c r="C3" s="19">
        <v>3433000</v>
      </c>
      <c r="D3" s="82">
        <v>46315</v>
      </c>
      <c r="E3" s="19" t="s">
        <v>12</v>
      </c>
      <c r="F3" s="19" t="s">
        <v>10</v>
      </c>
      <c r="G3" s="19" t="s">
        <v>133</v>
      </c>
      <c r="H3" s="19"/>
      <c r="I3" s="19"/>
    </row>
    <row r="4" spans="1:9" x14ac:dyDescent="0.3">
      <c r="A4" s="19" t="s">
        <v>11</v>
      </c>
      <c r="B4" s="19">
        <v>67491042</v>
      </c>
      <c r="C4" s="19">
        <v>304550</v>
      </c>
      <c r="D4" s="82">
        <v>46320</v>
      </c>
      <c r="E4" s="19" t="s">
        <v>97</v>
      </c>
      <c r="F4" s="19" t="s">
        <v>10</v>
      </c>
      <c r="G4" s="19" t="s">
        <v>134</v>
      </c>
      <c r="H4" s="19"/>
      <c r="I4" s="19"/>
    </row>
    <row r="5" spans="1:9" x14ac:dyDescent="0.3">
      <c r="A5" s="19" t="s">
        <v>11</v>
      </c>
      <c r="B5" s="19">
        <v>532070</v>
      </c>
      <c r="C5" s="19">
        <v>1500000</v>
      </c>
      <c r="D5" s="82">
        <v>46323</v>
      </c>
      <c r="E5" s="19" t="s">
        <v>98</v>
      </c>
      <c r="F5" s="19" t="s">
        <v>10</v>
      </c>
      <c r="G5" s="19" t="s">
        <v>135</v>
      </c>
      <c r="H5" s="19"/>
      <c r="I5" s="19"/>
    </row>
    <row r="6" spans="1:9" x14ac:dyDescent="0.3">
      <c r="A6" s="19" t="s">
        <v>99</v>
      </c>
      <c r="B6" s="19">
        <v>74668</v>
      </c>
      <c r="C6" s="19">
        <v>1400000</v>
      </c>
      <c r="D6" s="82">
        <v>46325</v>
      </c>
      <c r="E6" s="19" t="s">
        <v>9</v>
      </c>
      <c r="F6" s="19" t="s">
        <v>10</v>
      </c>
      <c r="G6" s="19" t="s">
        <v>136</v>
      </c>
      <c r="H6" s="19"/>
      <c r="I6" s="19"/>
    </row>
    <row r="7" spans="1:9" x14ac:dyDescent="0.3">
      <c r="A7" s="19" t="s">
        <v>99</v>
      </c>
      <c r="B7" s="19">
        <v>74669</v>
      </c>
      <c r="C7" s="19">
        <v>1200000</v>
      </c>
      <c r="D7" s="82">
        <v>46325</v>
      </c>
      <c r="E7" s="19" t="s">
        <v>9</v>
      </c>
      <c r="F7" s="19" t="s">
        <v>10</v>
      </c>
      <c r="G7" s="19" t="s">
        <v>136</v>
      </c>
      <c r="H7" s="19"/>
      <c r="I7" s="19"/>
    </row>
    <row r="8" spans="1:9" x14ac:dyDescent="0.3">
      <c r="A8" s="19" t="s">
        <v>99</v>
      </c>
      <c r="B8" s="19">
        <v>74675</v>
      </c>
      <c r="C8" s="19">
        <v>2395732.5</v>
      </c>
      <c r="D8" s="82">
        <v>46332</v>
      </c>
      <c r="E8" s="19" t="s">
        <v>9</v>
      </c>
      <c r="F8" s="19" t="s">
        <v>10</v>
      </c>
      <c r="G8" s="19" t="s">
        <v>137</v>
      </c>
      <c r="H8" s="19"/>
      <c r="I8" s="19"/>
    </row>
    <row r="9" spans="1:9" x14ac:dyDescent="0.3">
      <c r="A9" s="19" t="s">
        <v>38</v>
      </c>
      <c r="B9" s="19"/>
      <c r="C9" s="19">
        <v>1923110</v>
      </c>
      <c r="D9" s="82">
        <v>46348</v>
      </c>
      <c r="E9" s="19"/>
      <c r="F9" s="19" t="s">
        <v>10</v>
      </c>
      <c r="G9" s="19" t="s">
        <v>138</v>
      </c>
      <c r="H9" s="19" t="s">
        <v>107</v>
      </c>
      <c r="I9" s="19"/>
    </row>
    <row r="10" spans="1:9" x14ac:dyDescent="0.3">
      <c r="A10" s="19" t="s">
        <v>11</v>
      </c>
      <c r="B10" s="19">
        <v>552585549</v>
      </c>
      <c r="C10" s="19">
        <v>805700</v>
      </c>
      <c r="D10" s="82">
        <v>46350</v>
      </c>
      <c r="E10" s="19" t="s">
        <v>12</v>
      </c>
      <c r="F10" s="19" t="s">
        <v>10</v>
      </c>
      <c r="G10" s="19" t="s">
        <v>139</v>
      </c>
      <c r="H10" s="19"/>
      <c r="I10" s="19"/>
    </row>
    <row r="11" spans="1:9" x14ac:dyDescent="0.3">
      <c r="A11" s="19" t="s">
        <v>11</v>
      </c>
      <c r="B11" s="19">
        <v>67491043</v>
      </c>
      <c r="C11" s="19">
        <v>304550</v>
      </c>
      <c r="D11" s="82">
        <v>46351</v>
      </c>
      <c r="E11" s="19" t="s">
        <v>97</v>
      </c>
      <c r="F11" s="19" t="s">
        <v>10</v>
      </c>
      <c r="G11" s="19" t="s">
        <v>127</v>
      </c>
      <c r="H11" s="19"/>
      <c r="I11" s="19"/>
    </row>
    <row r="12" spans="1:9" x14ac:dyDescent="0.3">
      <c r="A12" s="19" t="s">
        <v>11</v>
      </c>
      <c r="B12" s="19">
        <v>551695622</v>
      </c>
      <c r="C12" s="19">
        <v>855540</v>
      </c>
      <c r="D12" s="82">
        <v>46354</v>
      </c>
      <c r="E12" s="19" t="s">
        <v>12</v>
      </c>
      <c r="F12" s="19" t="s">
        <v>10</v>
      </c>
      <c r="G12" s="19" t="s">
        <v>140</v>
      </c>
      <c r="H12" s="19"/>
      <c r="I12" s="19"/>
    </row>
    <row r="13" spans="1:9" x14ac:dyDescent="0.3">
      <c r="A13" s="19"/>
      <c r="B13" s="19"/>
      <c r="C13" s="19"/>
      <c r="D13" s="82"/>
      <c r="E13" s="19"/>
      <c r="F13" s="19"/>
      <c r="G13" s="19"/>
      <c r="H13" s="19"/>
      <c r="I13" s="19"/>
    </row>
    <row r="14" spans="1:9" x14ac:dyDescent="0.3">
      <c r="A14" s="19"/>
      <c r="B14" s="19"/>
      <c r="C14" s="19"/>
      <c r="D14" s="20"/>
      <c r="E14" s="19"/>
      <c r="F14" s="19"/>
      <c r="G14" s="19"/>
      <c r="H14" s="19"/>
      <c r="I14" s="19"/>
    </row>
    <row r="15" spans="1:9" x14ac:dyDescent="0.3">
      <c r="A15" s="19"/>
      <c r="B15" s="19"/>
      <c r="C15" s="19"/>
      <c r="D15" s="20"/>
      <c r="E15" s="19"/>
      <c r="F15" s="19"/>
      <c r="G15" s="19"/>
      <c r="H15" s="19"/>
      <c r="I15" s="19"/>
    </row>
    <row r="16" spans="1:9" x14ac:dyDescent="0.3">
      <c r="A16" s="19"/>
      <c r="B16" s="19"/>
      <c r="C16" s="19"/>
      <c r="D16" s="20"/>
      <c r="E16" s="19"/>
      <c r="F16" s="19"/>
      <c r="G16" s="19"/>
      <c r="H16" s="19"/>
      <c r="I16" s="19"/>
    </row>
    <row r="17" spans="1:9" x14ac:dyDescent="0.3">
      <c r="A17" s="19"/>
      <c r="B17" s="19"/>
      <c r="C17" s="19"/>
      <c r="D17" s="20"/>
      <c r="E17" s="19"/>
      <c r="F17" s="19"/>
      <c r="G17" s="19"/>
      <c r="H17" s="19"/>
      <c r="I17" s="19"/>
    </row>
    <row r="18" spans="1:9" x14ac:dyDescent="0.3">
      <c r="A18" s="19"/>
      <c r="B18" s="19"/>
      <c r="C18" s="19"/>
      <c r="D18" s="20"/>
      <c r="E18" s="19"/>
      <c r="F18" s="19"/>
      <c r="G18" s="19"/>
      <c r="H18" s="19"/>
      <c r="I18" s="19"/>
    </row>
    <row r="19" spans="1:9" x14ac:dyDescent="0.3">
      <c r="A19" s="19"/>
      <c r="B19" s="19"/>
      <c r="C19" s="19"/>
      <c r="D19" s="20"/>
      <c r="E19" s="19"/>
      <c r="F19" s="19"/>
      <c r="G19" s="19"/>
      <c r="H19" s="19"/>
      <c r="I19" s="19"/>
    </row>
    <row r="20" spans="1:9" x14ac:dyDescent="0.3">
      <c r="A20" s="19"/>
      <c r="B20" s="19"/>
      <c r="C20" s="19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19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19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19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19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19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19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19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19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19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19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19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19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19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19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19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19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19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19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19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19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19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19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19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19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19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19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19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19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19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19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19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0F40-EAF7-404D-8494-DFC98854C4A6}">
  <sheetPr codeName="Sheet7"/>
  <dimension ref="A2:I53"/>
  <sheetViews>
    <sheetView rightToLeft="1" workbookViewId="0">
      <selection activeCell="A3" sqref="A3:H4"/>
    </sheetView>
  </sheetViews>
  <sheetFormatPr defaultRowHeight="14.4" x14ac:dyDescent="0.3"/>
  <cols>
    <col min="1" max="1" width="13.88671875" bestFit="1" customWidth="1"/>
    <col min="2" max="2" width="12.5546875" customWidth="1"/>
    <col min="3" max="3" width="12.6640625" style="50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101</v>
      </c>
      <c r="B2" s="17" t="s">
        <v>1</v>
      </c>
      <c r="C2" s="49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102</v>
      </c>
      <c r="B3" s="19">
        <v>77838206</v>
      </c>
      <c r="C3" s="32">
        <v>30000000</v>
      </c>
      <c r="D3" s="20">
        <v>46320</v>
      </c>
      <c r="E3" s="19" t="s">
        <v>103</v>
      </c>
      <c r="F3" s="19" t="s">
        <v>104</v>
      </c>
      <c r="G3" s="19" t="str">
        <f ca="1">IF(D3="","",IF(D3&lt;TODAY(),"⛔ متأخر "&amp;TODAY()-D3&amp;" يوم",IF(D3=TODAY(),"🔔 مستحق اليوم","⚠ باقي "&amp;D3-TODAY()&amp;" يوم")))</f>
        <v>⛔ متأخر 2 يوم</v>
      </c>
      <c r="H3" s="19"/>
      <c r="I3" s="19"/>
    </row>
    <row r="4" spans="1:9" x14ac:dyDescent="0.3">
      <c r="A4" s="19" t="s">
        <v>105</v>
      </c>
      <c r="B4" s="19">
        <v>77838207</v>
      </c>
      <c r="C4" s="32">
        <v>290000</v>
      </c>
      <c r="D4" s="20">
        <v>46342</v>
      </c>
      <c r="E4" s="19" t="s">
        <v>103</v>
      </c>
      <c r="F4" s="19" t="s">
        <v>104</v>
      </c>
      <c r="G4" s="19" t="str">
        <f t="shared" ref="G4:G17" ca="1" si="0">IF(D4="","",IF(D4&lt;TODAY(),"⛔ متأخر "&amp;TODAY()-D4&amp;" يوم",IF(D4=TODAY(),"🔔 مستحق اليوم","⚠ باقي "&amp;D4-TODAY()&amp;" يوم")))</f>
        <v>⚠ باقي 20 يوم</v>
      </c>
      <c r="H4" s="19"/>
      <c r="I4" s="19"/>
    </row>
    <row r="5" spans="1:9" x14ac:dyDescent="0.3">
      <c r="A5" s="19" t="s">
        <v>105</v>
      </c>
      <c r="B5" s="19">
        <v>77838208</v>
      </c>
      <c r="C5" s="32">
        <v>289000</v>
      </c>
      <c r="D5" s="20">
        <v>46372</v>
      </c>
      <c r="E5" s="19" t="s">
        <v>103</v>
      </c>
      <c r="F5" s="19" t="s">
        <v>104</v>
      </c>
      <c r="G5" s="19" t="str">
        <f t="shared" ca="1" si="0"/>
        <v>⚠ باقي 50 يوم</v>
      </c>
      <c r="H5" s="19"/>
      <c r="I5" s="19"/>
    </row>
    <row r="6" spans="1:9" x14ac:dyDescent="0.3">
      <c r="A6" s="19" t="s">
        <v>106</v>
      </c>
      <c r="B6" s="19">
        <v>77838188</v>
      </c>
      <c r="C6" s="32">
        <v>13281.81</v>
      </c>
      <c r="D6" s="20">
        <v>46336</v>
      </c>
      <c r="E6" s="19" t="s">
        <v>103</v>
      </c>
      <c r="F6" s="19" t="s">
        <v>104</v>
      </c>
      <c r="G6" s="19" t="str">
        <f t="shared" ca="1" si="0"/>
        <v>⚠ باقي 14 يوم</v>
      </c>
      <c r="H6" s="19"/>
      <c r="I6" s="19"/>
    </row>
    <row r="7" spans="1:9" x14ac:dyDescent="0.3">
      <c r="A7" s="19"/>
      <c r="B7" s="19"/>
      <c r="C7" s="32"/>
      <c r="D7" s="20"/>
      <c r="E7" s="19"/>
      <c r="F7" s="19"/>
      <c r="G7" s="19" t="str">
        <f t="shared" ca="1" si="0"/>
        <v/>
      </c>
      <c r="H7" s="19"/>
      <c r="I7" s="19"/>
    </row>
    <row r="8" spans="1:9" x14ac:dyDescent="0.3">
      <c r="A8" s="19"/>
      <c r="B8" s="19"/>
      <c r="C8" s="32"/>
      <c r="D8" s="20"/>
      <c r="E8" s="19"/>
      <c r="F8" s="19"/>
      <c r="G8" s="19" t="str">
        <f t="shared" ca="1" si="0"/>
        <v/>
      </c>
      <c r="H8" s="19"/>
      <c r="I8" s="19"/>
    </row>
    <row r="9" spans="1:9" x14ac:dyDescent="0.3">
      <c r="A9" s="19"/>
      <c r="B9" s="19"/>
      <c r="C9" s="32"/>
      <c r="D9" s="20"/>
      <c r="E9" s="19"/>
      <c r="F9" s="19"/>
      <c r="G9" s="19" t="str">
        <f t="shared" ca="1" si="0"/>
        <v/>
      </c>
      <c r="H9" s="19"/>
      <c r="I9" s="19"/>
    </row>
    <row r="10" spans="1:9" x14ac:dyDescent="0.3">
      <c r="A10" s="19"/>
      <c r="B10" s="19"/>
      <c r="C10" s="32"/>
      <c r="D10" s="20"/>
      <c r="E10" s="19"/>
      <c r="F10" s="19"/>
      <c r="G10" s="19" t="str">
        <f t="shared" ca="1" si="0"/>
        <v/>
      </c>
      <c r="H10" s="19"/>
      <c r="I10" s="19"/>
    </row>
    <row r="11" spans="1:9" x14ac:dyDescent="0.3">
      <c r="A11" s="19"/>
      <c r="B11" s="19"/>
      <c r="C11" s="32"/>
      <c r="D11" s="20"/>
      <c r="E11" s="19"/>
      <c r="F11" s="19"/>
      <c r="G11" s="19" t="str">
        <f t="shared" ca="1" si="0"/>
        <v/>
      </c>
      <c r="H11" s="19"/>
      <c r="I11" s="19"/>
    </row>
    <row r="12" spans="1:9" x14ac:dyDescent="0.3">
      <c r="A12" s="19"/>
      <c r="B12" s="19"/>
      <c r="C12" s="32"/>
      <c r="D12" s="20"/>
      <c r="E12" s="19"/>
      <c r="F12" s="19"/>
      <c r="G12" s="19" t="str">
        <f t="shared" ca="1" si="0"/>
        <v/>
      </c>
      <c r="H12" s="19"/>
      <c r="I12" s="19"/>
    </row>
    <row r="13" spans="1:9" x14ac:dyDescent="0.3">
      <c r="A13" s="19"/>
      <c r="B13" s="19"/>
      <c r="C13" s="32"/>
      <c r="D13" s="20"/>
      <c r="E13" s="19"/>
      <c r="F13" s="19"/>
      <c r="G13" s="19" t="str">
        <f t="shared" ca="1" si="0"/>
        <v/>
      </c>
      <c r="H13" s="19"/>
      <c r="I13" s="19"/>
    </row>
    <row r="14" spans="1:9" x14ac:dyDescent="0.3">
      <c r="A14" s="19"/>
      <c r="B14" s="19"/>
      <c r="C14" s="32"/>
      <c r="D14" s="20"/>
      <c r="E14" s="19"/>
      <c r="F14" s="19"/>
      <c r="G14" s="19" t="str">
        <f t="shared" ca="1" si="0"/>
        <v/>
      </c>
      <c r="H14" s="19"/>
      <c r="I14" s="19"/>
    </row>
    <row r="15" spans="1:9" x14ac:dyDescent="0.3">
      <c r="A15" s="19"/>
      <c r="B15" s="19"/>
      <c r="C15" s="32"/>
      <c r="D15" s="20"/>
      <c r="E15" s="19"/>
      <c r="F15" s="19"/>
      <c r="G15" s="19" t="str">
        <f t="shared" ca="1" si="0"/>
        <v/>
      </c>
      <c r="H15" s="19"/>
      <c r="I15" s="19"/>
    </row>
    <row r="16" spans="1:9" x14ac:dyDescent="0.3">
      <c r="A16" s="19"/>
      <c r="B16" s="19"/>
      <c r="C16" s="32"/>
      <c r="D16" s="20"/>
      <c r="E16" s="19"/>
      <c r="F16" s="19"/>
      <c r="G16" s="19" t="str">
        <f t="shared" ca="1" si="0"/>
        <v/>
      </c>
      <c r="H16" s="19"/>
      <c r="I16" s="19"/>
    </row>
    <row r="17" spans="1:9" x14ac:dyDescent="0.3">
      <c r="A17" s="19"/>
      <c r="B17" s="19"/>
      <c r="C17" s="32"/>
      <c r="D17" s="20"/>
      <c r="E17" s="19"/>
      <c r="F17" s="19"/>
      <c r="G17" s="19" t="str">
        <f t="shared" ca="1" si="0"/>
        <v/>
      </c>
      <c r="H17" s="19"/>
      <c r="I17" s="19"/>
    </row>
    <row r="18" spans="1:9" x14ac:dyDescent="0.3">
      <c r="A18" s="19"/>
      <c r="B18" s="19"/>
      <c r="C18" s="32"/>
      <c r="D18" s="20"/>
      <c r="E18" s="19"/>
      <c r="F18" s="19"/>
      <c r="G18" s="19"/>
      <c r="H18" s="19"/>
      <c r="I18" s="19"/>
    </row>
    <row r="19" spans="1:9" x14ac:dyDescent="0.3">
      <c r="A19" s="19"/>
      <c r="B19" s="19"/>
      <c r="C19" s="32"/>
      <c r="D19" s="20"/>
      <c r="E19" s="19"/>
      <c r="F19" s="19"/>
      <c r="G19" s="19"/>
      <c r="H19" s="19"/>
      <c r="I19" s="19"/>
    </row>
    <row r="20" spans="1:9" x14ac:dyDescent="0.3">
      <c r="A20" s="19"/>
      <c r="B20" s="19"/>
      <c r="C20" s="32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32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32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32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32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32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32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32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32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32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32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32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32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32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32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32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32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32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32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32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32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32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32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32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32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32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32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32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32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32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32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32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32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32"/>
      <c r="D53" s="20"/>
      <c r="E53" s="19"/>
      <c r="F53" s="19"/>
      <c r="G53" s="19"/>
      <c r="H53" s="19"/>
      <c r="I53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Q304"/>
  <sheetViews>
    <sheetView rightToLeft="1" workbookViewId="0">
      <selection activeCell="K2" sqref="K2"/>
    </sheetView>
  </sheetViews>
  <sheetFormatPr defaultRowHeight="14.4" x14ac:dyDescent="0.3"/>
  <cols>
    <col min="1" max="1" width="11.21875" style="19" customWidth="1"/>
    <col min="2" max="2" width="11.6640625" style="32" customWidth="1"/>
    <col min="3" max="3" width="10.5546875" style="32" bestFit="1" customWidth="1"/>
    <col min="4" max="4" width="9.44140625" style="31" bestFit="1" customWidth="1"/>
    <col min="5" max="5" width="39.44140625" style="19" customWidth="1"/>
    <col min="6" max="6" width="12.109375" style="19" bestFit="1" customWidth="1"/>
    <col min="7" max="8" width="12.109375" style="33" bestFit="1" customWidth="1"/>
    <col min="9" max="9" width="13" style="33" bestFit="1" customWidth="1"/>
    <col min="10" max="10" width="12.6640625" style="33" bestFit="1" customWidth="1"/>
    <col min="11" max="11" width="8.88671875" style="30" customWidth="1"/>
    <col min="12" max="15" width="8.88671875" style="30"/>
    <col min="16" max="16" width="10.5546875" style="30" bestFit="1" customWidth="1"/>
    <col min="17" max="16384" width="8.88671875" style="30"/>
  </cols>
  <sheetData>
    <row r="2" spans="1:17" x14ac:dyDescent="0.3">
      <c r="A2" s="51" t="s">
        <v>0</v>
      </c>
      <c r="B2" s="51" t="s">
        <v>122</v>
      </c>
      <c r="C2" s="51" t="s">
        <v>123</v>
      </c>
      <c r="D2" s="51" t="s">
        <v>89</v>
      </c>
      <c r="E2" s="51" t="s">
        <v>124</v>
      </c>
      <c r="F2" s="51" t="s">
        <v>87</v>
      </c>
      <c r="G2" s="51" t="s">
        <v>17</v>
      </c>
      <c r="H2" s="51" t="s">
        <v>18</v>
      </c>
      <c r="I2" s="51" t="s">
        <v>110</v>
      </c>
      <c r="J2" s="51"/>
      <c r="K2" s="51"/>
      <c r="L2" s="51"/>
      <c r="M2" s="51"/>
      <c r="N2" s="51"/>
      <c r="O2" s="51"/>
      <c r="P2" s="51"/>
      <c r="Q2" s="51"/>
    </row>
    <row r="3" spans="1:17" x14ac:dyDescent="0.3">
      <c r="A3" s="19" t="s">
        <v>13</v>
      </c>
      <c r="B3" s="32">
        <v>39450</v>
      </c>
      <c r="C3" s="32">
        <v>40300</v>
      </c>
      <c r="D3" s="31">
        <v>1</v>
      </c>
      <c r="E3" s="19" t="s">
        <v>19</v>
      </c>
      <c r="F3" s="82">
        <v>46200</v>
      </c>
      <c r="G3" s="33">
        <v>537703.5</v>
      </c>
      <c r="H3" s="33">
        <v>549289</v>
      </c>
      <c r="I3" s="33">
        <v>13.63</v>
      </c>
      <c r="P3" s="58"/>
    </row>
    <row r="4" spans="1:17" x14ac:dyDescent="0.3">
      <c r="A4" s="19" t="s">
        <v>13</v>
      </c>
      <c r="B4" s="32">
        <v>39450</v>
      </c>
      <c r="C4" s="32">
        <v>40300</v>
      </c>
      <c r="D4" s="31">
        <v>1</v>
      </c>
      <c r="F4" s="82">
        <v>46200</v>
      </c>
      <c r="G4" s="33">
        <v>1384300.5000000002</v>
      </c>
      <c r="H4" s="33">
        <v>1414127.0000000002</v>
      </c>
      <c r="I4" s="33">
        <v>35.090000000000003</v>
      </c>
      <c r="P4" s="58"/>
    </row>
    <row r="5" spans="1:17" x14ac:dyDescent="0.3">
      <c r="A5" s="19" t="s">
        <v>15</v>
      </c>
      <c r="B5" s="32">
        <v>41000</v>
      </c>
      <c r="C5" s="32">
        <v>42500</v>
      </c>
      <c r="D5" s="31">
        <v>19</v>
      </c>
      <c r="E5" s="19" t="s">
        <v>19</v>
      </c>
      <c r="F5" s="82">
        <v>46209</v>
      </c>
      <c r="G5" s="33">
        <v>559240</v>
      </c>
      <c r="H5" s="33">
        <v>579700</v>
      </c>
      <c r="I5" s="33">
        <v>13.64</v>
      </c>
      <c r="P5" s="58"/>
    </row>
    <row r="6" spans="1:17" x14ac:dyDescent="0.3">
      <c r="A6" s="19" t="s">
        <v>15</v>
      </c>
      <c r="B6" s="32">
        <v>41000</v>
      </c>
      <c r="C6" s="32">
        <v>42500</v>
      </c>
      <c r="D6" s="31">
        <v>19</v>
      </c>
      <c r="F6" s="82">
        <v>46209</v>
      </c>
      <c r="G6" s="33">
        <v>558420</v>
      </c>
      <c r="H6" s="33">
        <v>578850</v>
      </c>
      <c r="I6" s="33">
        <v>13.62</v>
      </c>
      <c r="P6" s="58"/>
    </row>
    <row r="7" spans="1:17" x14ac:dyDescent="0.3">
      <c r="A7" s="19" t="s">
        <v>15</v>
      </c>
      <c r="B7" s="32">
        <v>41000</v>
      </c>
      <c r="C7" s="32">
        <v>42500</v>
      </c>
      <c r="D7" s="31">
        <v>19</v>
      </c>
      <c r="F7" s="82">
        <v>46209</v>
      </c>
      <c r="G7" s="33">
        <v>1205400</v>
      </c>
      <c r="H7" s="33">
        <v>1249500</v>
      </c>
      <c r="I7" s="33">
        <v>29.4</v>
      </c>
      <c r="P7" s="58"/>
    </row>
    <row r="8" spans="1:17" x14ac:dyDescent="0.3">
      <c r="A8" s="19" t="s">
        <v>15</v>
      </c>
      <c r="B8" s="32">
        <v>41000</v>
      </c>
      <c r="C8" s="32">
        <v>42500</v>
      </c>
      <c r="D8" s="31">
        <v>19</v>
      </c>
      <c r="F8" s="82">
        <v>46209</v>
      </c>
      <c r="G8" s="33">
        <v>638780</v>
      </c>
      <c r="H8" s="33">
        <v>662150</v>
      </c>
      <c r="I8" s="33">
        <v>15.58</v>
      </c>
      <c r="P8" s="58"/>
    </row>
    <row r="9" spans="1:17" x14ac:dyDescent="0.3">
      <c r="A9" s="19" t="s">
        <v>8</v>
      </c>
      <c r="B9" s="32">
        <v>40000</v>
      </c>
      <c r="C9" s="32">
        <v>40200</v>
      </c>
      <c r="D9" s="31">
        <v>3</v>
      </c>
      <c r="E9" s="19" t="s">
        <v>20</v>
      </c>
      <c r="F9" s="82">
        <v>46211</v>
      </c>
      <c r="G9" s="33">
        <v>316800</v>
      </c>
      <c r="H9" s="33">
        <v>318384</v>
      </c>
      <c r="I9" s="33">
        <v>7.92</v>
      </c>
      <c r="P9" s="58"/>
    </row>
    <row r="10" spans="1:17" x14ac:dyDescent="0.3">
      <c r="A10" s="19" t="s">
        <v>8</v>
      </c>
      <c r="B10" s="32">
        <v>40000</v>
      </c>
      <c r="C10" s="32">
        <v>40200</v>
      </c>
      <c r="D10" s="31">
        <v>3</v>
      </c>
      <c r="F10" s="82">
        <v>46211</v>
      </c>
      <c r="G10" s="33">
        <v>1030400.0000000001</v>
      </c>
      <c r="H10" s="33">
        <v>1035552.0000000001</v>
      </c>
      <c r="I10" s="33">
        <v>25.76</v>
      </c>
      <c r="P10" s="58"/>
    </row>
    <row r="11" spans="1:17" x14ac:dyDescent="0.3">
      <c r="A11" s="19" t="s">
        <v>8</v>
      </c>
      <c r="B11" s="32">
        <v>40000</v>
      </c>
      <c r="C11" s="32">
        <v>40200</v>
      </c>
      <c r="D11" s="31">
        <v>3</v>
      </c>
      <c r="F11" s="82">
        <v>46211</v>
      </c>
      <c r="G11" s="33">
        <v>389600</v>
      </c>
      <c r="H11" s="33">
        <v>391548</v>
      </c>
      <c r="I11" s="33">
        <v>9.74</v>
      </c>
      <c r="P11" s="58"/>
    </row>
    <row r="12" spans="1:17" x14ac:dyDescent="0.3">
      <c r="A12" s="19" t="s">
        <v>8</v>
      </c>
      <c r="B12" s="32">
        <v>40000</v>
      </c>
      <c r="C12" s="32">
        <v>40200</v>
      </c>
      <c r="D12" s="31">
        <v>3</v>
      </c>
      <c r="F12" s="82">
        <v>46211</v>
      </c>
      <c r="G12" s="33">
        <v>257000</v>
      </c>
      <c r="H12" s="33">
        <v>258285</v>
      </c>
      <c r="I12" s="33">
        <v>6.4249999999999998</v>
      </c>
      <c r="P12" s="58"/>
    </row>
    <row r="13" spans="1:17" x14ac:dyDescent="0.3">
      <c r="A13" s="19" t="s">
        <v>8</v>
      </c>
      <c r="B13" s="32">
        <v>40000</v>
      </c>
      <c r="C13" s="32">
        <v>40200</v>
      </c>
      <c r="D13" s="31">
        <v>3</v>
      </c>
      <c r="F13" s="82">
        <v>46211</v>
      </c>
      <c r="G13" s="33">
        <v>791600</v>
      </c>
      <c r="H13" s="33">
        <v>795558</v>
      </c>
      <c r="I13" s="33">
        <v>19.79</v>
      </c>
      <c r="P13" s="58"/>
    </row>
    <row r="14" spans="1:17" x14ac:dyDescent="0.3">
      <c r="A14" s="19" t="s">
        <v>8</v>
      </c>
      <c r="B14" s="32">
        <v>40000</v>
      </c>
      <c r="C14" s="32">
        <v>40200</v>
      </c>
      <c r="D14" s="31">
        <v>3</v>
      </c>
      <c r="F14" s="82">
        <v>46211</v>
      </c>
      <c r="G14" s="33">
        <v>790800</v>
      </c>
      <c r="H14" s="33">
        <v>794754</v>
      </c>
      <c r="I14" s="33">
        <v>19.77</v>
      </c>
      <c r="P14" s="58"/>
    </row>
    <row r="15" spans="1:17" x14ac:dyDescent="0.3">
      <c r="A15" s="19" t="s">
        <v>8</v>
      </c>
      <c r="B15" s="32">
        <v>40000</v>
      </c>
      <c r="C15" s="32">
        <v>40200</v>
      </c>
      <c r="D15" s="31">
        <v>3</v>
      </c>
      <c r="F15" s="82">
        <v>46211</v>
      </c>
      <c r="G15" s="33">
        <v>77600</v>
      </c>
      <c r="H15" s="33">
        <v>77988</v>
      </c>
      <c r="I15" s="33">
        <v>1.94</v>
      </c>
      <c r="P15" s="58"/>
    </row>
    <row r="16" spans="1:17" x14ac:dyDescent="0.3">
      <c r="A16" s="19" t="s">
        <v>8</v>
      </c>
      <c r="B16" s="32">
        <v>40000</v>
      </c>
      <c r="C16" s="32">
        <v>40200</v>
      </c>
      <c r="D16" s="31">
        <v>3</v>
      </c>
      <c r="F16" s="82">
        <v>46211</v>
      </c>
      <c r="G16" s="33">
        <v>192000</v>
      </c>
      <c r="H16" s="33">
        <v>192960</v>
      </c>
      <c r="I16" s="33">
        <v>4.8</v>
      </c>
      <c r="P16" s="58"/>
    </row>
    <row r="17" spans="1:16" x14ac:dyDescent="0.3">
      <c r="A17" s="19" t="s">
        <v>8</v>
      </c>
      <c r="B17" s="32">
        <v>40000</v>
      </c>
      <c r="C17" s="32">
        <v>40200</v>
      </c>
      <c r="D17" s="31">
        <v>3</v>
      </c>
      <c r="F17" s="82">
        <v>46211</v>
      </c>
      <c r="G17" s="33">
        <v>236400</v>
      </c>
      <c r="H17" s="33">
        <v>237582</v>
      </c>
      <c r="I17" s="33">
        <v>5.91</v>
      </c>
      <c r="P17" s="58"/>
    </row>
    <row r="18" spans="1:16" x14ac:dyDescent="0.3">
      <c r="A18" s="19" t="s">
        <v>8</v>
      </c>
      <c r="B18" s="32">
        <v>40000</v>
      </c>
      <c r="C18" s="32">
        <v>40200</v>
      </c>
      <c r="D18" s="31">
        <v>3</v>
      </c>
      <c r="F18" s="82">
        <v>46211</v>
      </c>
      <c r="G18" s="33">
        <v>872000</v>
      </c>
      <c r="H18" s="33">
        <v>876360</v>
      </c>
      <c r="I18" s="33">
        <v>21.8</v>
      </c>
      <c r="P18" s="58"/>
    </row>
    <row r="19" spans="1:16" x14ac:dyDescent="0.3">
      <c r="A19" s="19" t="s">
        <v>8</v>
      </c>
      <c r="B19" s="32">
        <v>40000</v>
      </c>
      <c r="C19" s="32">
        <v>40200</v>
      </c>
      <c r="D19" s="31">
        <v>3</v>
      </c>
      <c r="F19" s="82">
        <v>46211</v>
      </c>
      <c r="G19" s="33">
        <v>625200</v>
      </c>
      <c r="H19" s="33">
        <v>628326</v>
      </c>
      <c r="I19" s="33">
        <v>15.63</v>
      </c>
      <c r="P19" s="58"/>
    </row>
    <row r="20" spans="1:16" x14ac:dyDescent="0.3">
      <c r="A20" s="19" t="s">
        <v>8</v>
      </c>
      <c r="B20" s="32">
        <v>40000</v>
      </c>
      <c r="C20" s="32">
        <v>40200</v>
      </c>
      <c r="D20" s="31">
        <v>3</v>
      </c>
      <c r="F20" s="82">
        <v>46211</v>
      </c>
      <c r="G20" s="33">
        <v>254800</v>
      </c>
      <c r="H20" s="33">
        <v>256074</v>
      </c>
      <c r="I20" s="33">
        <v>6.37</v>
      </c>
      <c r="P20" s="58"/>
    </row>
    <row r="21" spans="1:16" x14ac:dyDescent="0.3">
      <c r="A21" s="19" t="s">
        <v>8</v>
      </c>
      <c r="B21" s="32">
        <v>40000</v>
      </c>
      <c r="C21" s="32">
        <v>40200</v>
      </c>
      <c r="D21" s="31">
        <v>3</v>
      </c>
      <c r="F21" s="82">
        <v>46211</v>
      </c>
      <c r="G21" s="33">
        <v>314400</v>
      </c>
      <c r="H21" s="33">
        <v>315972</v>
      </c>
      <c r="I21" s="33">
        <v>7.86</v>
      </c>
      <c r="P21" s="58"/>
    </row>
    <row r="22" spans="1:16" x14ac:dyDescent="0.3">
      <c r="A22" s="19" t="s">
        <v>8</v>
      </c>
      <c r="B22" s="32">
        <v>40000</v>
      </c>
      <c r="C22" s="32">
        <v>40200</v>
      </c>
      <c r="D22" s="31">
        <v>3</v>
      </c>
      <c r="F22" s="82">
        <v>46211</v>
      </c>
      <c r="G22" s="33">
        <v>1029599.9999999999</v>
      </c>
      <c r="H22" s="33">
        <v>1034747.9999999999</v>
      </c>
      <c r="I22" s="33">
        <v>25.74</v>
      </c>
      <c r="P22" s="58"/>
    </row>
    <row r="23" spans="1:16" x14ac:dyDescent="0.3">
      <c r="A23" s="19" t="s">
        <v>8</v>
      </c>
      <c r="B23" s="32">
        <v>40000</v>
      </c>
      <c r="C23" s="32">
        <v>40200</v>
      </c>
      <c r="D23" s="31">
        <v>3</v>
      </c>
      <c r="F23" s="82">
        <v>46211</v>
      </c>
      <c r="G23" s="33">
        <v>384799.99999999994</v>
      </c>
      <c r="H23" s="33">
        <v>386723.99999999994</v>
      </c>
      <c r="I23" s="33">
        <v>9.6199999999999992</v>
      </c>
      <c r="P23" s="58"/>
    </row>
    <row r="24" spans="1:16" x14ac:dyDescent="0.3">
      <c r="A24" s="34" t="s">
        <v>8</v>
      </c>
      <c r="B24" s="35">
        <v>40000</v>
      </c>
      <c r="C24" s="35">
        <v>40200</v>
      </c>
      <c r="D24" s="31">
        <v>3</v>
      </c>
      <c r="F24" s="83">
        <v>46211</v>
      </c>
      <c r="G24" s="33">
        <v>255799.99999999997</v>
      </c>
      <c r="H24" s="33">
        <v>257078.99999999997</v>
      </c>
      <c r="I24" s="33">
        <v>6.3949999999999996</v>
      </c>
      <c r="P24" s="58"/>
    </row>
    <row r="25" spans="1:16" x14ac:dyDescent="0.3">
      <c r="A25" s="34" t="s">
        <v>11</v>
      </c>
      <c r="B25" s="35">
        <v>38100</v>
      </c>
      <c r="C25" s="35">
        <v>38100</v>
      </c>
      <c r="D25" s="31">
        <v>18</v>
      </c>
      <c r="E25" s="19" t="s">
        <v>21</v>
      </c>
      <c r="F25" s="83">
        <v>46217</v>
      </c>
      <c r="G25" s="33">
        <v>74295</v>
      </c>
      <c r="H25" s="33">
        <v>74295</v>
      </c>
      <c r="I25" s="33">
        <v>1.95</v>
      </c>
      <c r="P25" s="58"/>
    </row>
    <row r="26" spans="1:16" x14ac:dyDescent="0.3">
      <c r="A26" s="34" t="s">
        <v>11</v>
      </c>
      <c r="B26" s="35">
        <v>38100</v>
      </c>
      <c r="C26" s="35">
        <v>38100</v>
      </c>
      <c r="D26" s="31">
        <v>18</v>
      </c>
      <c r="F26" s="83">
        <v>46217</v>
      </c>
      <c r="G26" s="33">
        <v>1496568</v>
      </c>
      <c r="H26" s="33">
        <v>1496568</v>
      </c>
      <c r="I26" s="33">
        <v>39.28</v>
      </c>
      <c r="P26" s="58"/>
    </row>
    <row r="27" spans="1:16" x14ac:dyDescent="0.3">
      <c r="A27" s="34" t="s">
        <v>11</v>
      </c>
      <c r="B27" s="35">
        <v>38100</v>
      </c>
      <c r="C27" s="35">
        <v>38100</v>
      </c>
      <c r="D27" s="31">
        <v>18</v>
      </c>
      <c r="F27" s="83">
        <v>46217</v>
      </c>
      <c r="G27" s="33">
        <v>374523</v>
      </c>
      <c r="H27" s="33">
        <v>374523</v>
      </c>
      <c r="I27" s="33">
        <v>9.83</v>
      </c>
      <c r="P27" s="58"/>
    </row>
    <row r="28" spans="1:16" x14ac:dyDescent="0.3">
      <c r="A28" s="34" t="s">
        <v>11</v>
      </c>
      <c r="B28" s="35">
        <v>38100</v>
      </c>
      <c r="C28" s="35">
        <v>38100</v>
      </c>
      <c r="D28" s="31">
        <v>18</v>
      </c>
      <c r="F28" s="83">
        <v>46217</v>
      </c>
      <c r="G28" s="33">
        <v>2649474.0000000005</v>
      </c>
      <c r="H28" s="33">
        <v>2649474.0000000005</v>
      </c>
      <c r="I28" s="33">
        <v>69.540000000000006</v>
      </c>
      <c r="P28" s="58"/>
    </row>
    <row r="29" spans="1:16" x14ac:dyDescent="0.3">
      <c r="A29" s="34" t="s">
        <v>22</v>
      </c>
      <c r="B29" s="35">
        <v>37500</v>
      </c>
      <c r="C29" s="35">
        <v>37600</v>
      </c>
      <c r="D29" s="31" t="s">
        <v>23</v>
      </c>
      <c r="E29" s="19" t="s">
        <v>24</v>
      </c>
      <c r="F29" s="83">
        <v>46221</v>
      </c>
      <c r="G29" s="33">
        <v>895875</v>
      </c>
      <c r="H29" s="33">
        <v>898264</v>
      </c>
      <c r="I29" s="33">
        <v>23.89</v>
      </c>
      <c r="P29" s="58"/>
    </row>
    <row r="30" spans="1:16" x14ac:dyDescent="0.3">
      <c r="A30" s="34" t="s">
        <v>22</v>
      </c>
      <c r="B30" s="35">
        <v>37500</v>
      </c>
      <c r="C30" s="35">
        <v>37600</v>
      </c>
      <c r="D30" s="31" t="s">
        <v>23</v>
      </c>
      <c r="F30" s="83">
        <v>46221</v>
      </c>
      <c r="G30" s="33">
        <v>443250</v>
      </c>
      <c r="H30" s="33">
        <v>444432</v>
      </c>
      <c r="I30" s="33">
        <v>11.82</v>
      </c>
      <c r="P30" s="58"/>
    </row>
    <row r="31" spans="1:16" x14ac:dyDescent="0.3">
      <c r="A31" s="34" t="s">
        <v>22</v>
      </c>
      <c r="B31" s="35">
        <v>37500</v>
      </c>
      <c r="C31" s="35">
        <v>37600</v>
      </c>
      <c r="D31" s="31" t="s">
        <v>23</v>
      </c>
      <c r="F31" s="83">
        <v>46221</v>
      </c>
      <c r="G31" s="33">
        <v>805125</v>
      </c>
      <c r="H31" s="33">
        <v>807272</v>
      </c>
      <c r="I31" s="33">
        <v>21.47</v>
      </c>
      <c r="P31" s="58"/>
    </row>
    <row r="32" spans="1:16" x14ac:dyDescent="0.3">
      <c r="A32" s="34" t="s">
        <v>22</v>
      </c>
      <c r="B32" s="35">
        <v>37500</v>
      </c>
      <c r="C32" s="35">
        <v>37600</v>
      </c>
      <c r="D32" s="31" t="s">
        <v>23</v>
      </c>
      <c r="F32" s="83">
        <v>46217</v>
      </c>
      <c r="G32" s="33">
        <v>1117125</v>
      </c>
      <c r="H32" s="33">
        <v>1120104</v>
      </c>
      <c r="I32" s="33">
        <v>29.79</v>
      </c>
      <c r="P32" s="58"/>
    </row>
    <row r="33" spans="1:16" x14ac:dyDescent="0.3">
      <c r="A33" s="34" t="s">
        <v>22</v>
      </c>
      <c r="B33" s="35">
        <v>37500</v>
      </c>
      <c r="C33" s="35">
        <v>37600</v>
      </c>
      <c r="D33" s="31" t="s">
        <v>23</v>
      </c>
      <c r="F33" s="83">
        <v>46217</v>
      </c>
      <c r="G33" s="33">
        <v>1248375</v>
      </c>
      <c r="H33" s="33">
        <v>1251704</v>
      </c>
      <c r="I33" s="33">
        <v>33.29</v>
      </c>
      <c r="P33" s="58"/>
    </row>
    <row r="34" spans="1:16" x14ac:dyDescent="0.3">
      <c r="A34" s="34" t="s">
        <v>22</v>
      </c>
      <c r="B34" s="35">
        <v>37500</v>
      </c>
      <c r="C34" s="35">
        <v>37600</v>
      </c>
      <c r="D34" s="31" t="s">
        <v>23</v>
      </c>
      <c r="F34" s="83">
        <v>46217</v>
      </c>
      <c r="G34" s="33">
        <v>1920000</v>
      </c>
      <c r="H34" s="33">
        <v>1925120</v>
      </c>
      <c r="I34" s="33">
        <v>51.2</v>
      </c>
      <c r="P34" s="58"/>
    </row>
    <row r="35" spans="1:16" x14ac:dyDescent="0.3">
      <c r="A35" s="19" t="s">
        <v>22</v>
      </c>
      <c r="B35" s="32">
        <v>37500</v>
      </c>
      <c r="C35" s="32">
        <v>37600</v>
      </c>
      <c r="D35" s="31" t="s">
        <v>23</v>
      </c>
      <c r="F35" s="82">
        <v>46217</v>
      </c>
      <c r="G35" s="33">
        <v>438000</v>
      </c>
      <c r="H35" s="33">
        <v>439168</v>
      </c>
      <c r="I35" s="33">
        <v>11.68</v>
      </c>
      <c r="P35" s="58"/>
    </row>
    <row r="36" spans="1:16" x14ac:dyDescent="0.3">
      <c r="A36" s="19" t="s">
        <v>22</v>
      </c>
      <c r="B36" s="32">
        <v>37500</v>
      </c>
      <c r="C36" s="32">
        <v>37600</v>
      </c>
      <c r="D36" s="31" t="s">
        <v>23</v>
      </c>
      <c r="F36" s="82">
        <v>46217</v>
      </c>
      <c r="G36" s="33">
        <v>292500</v>
      </c>
      <c r="H36" s="33">
        <v>293280</v>
      </c>
      <c r="I36" s="33">
        <v>7.8</v>
      </c>
      <c r="P36" s="58"/>
    </row>
    <row r="37" spans="1:16" x14ac:dyDescent="0.3">
      <c r="A37" s="19" t="s">
        <v>22</v>
      </c>
      <c r="B37" s="32">
        <v>37500</v>
      </c>
      <c r="C37" s="32">
        <v>37600</v>
      </c>
      <c r="D37" s="31" t="s">
        <v>23</v>
      </c>
      <c r="F37" s="82">
        <v>46217</v>
      </c>
      <c r="G37" s="33">
        <v>807750</v>
      </c>
      <c r="H37" s="33">
        <v>809904</v>
      </c>
      <c r="I37" s="33">
        <v>21.54</v>
      </c>
      <c r="P37" s="58"/>
    </row>
    <row r="38" spans="1:16" x14ac:dyDescent="0.3">
      <c r="A38" s="19" t="s">
        <v>22</v>
      </c>
      <c r="B38" s="32">
        <v>37500</v>
      </c>
      <c r="C38" s="32">
        <v>37600</v>
      </c>
      <c r="D38" s="31" t="s">
        <v>23</v>
      </c>
      <c r="F38" s="82">
        <v>46217</v>
      </c>
      <c r="G38" s="33">
        <v>295500</v>
      </c>
      <c r="H38" s="33">
        <v>296288</v>
      </c>
      <c r="I38" s="33">
        <v>7.88</v>
      </c>
      <c r="P38" s="58"/>
    </row>
    <row r="39" spans="1:16" x14ac:dyDescent="0.3">
      <c r="A39" s="19" t="s">
        <v>22</v>
      </c>
      <c r="B39" s="32">
        <v>37500</v>
      </c>
      <c r="C39" s="32">
        <v>37600</v>
      </c>
      <c r="D39" s="31" t="s">
        <v>23</v>
      </c>
      <c r="F39" s="82">
        <v>46217</v>
      </c>
      <c r="G39" s="33">
        <v>120000</v>
      </c>
      <c r="H39" s="33">
        <v>120320</v>
      </c>
      <c r="I39" s="33">
        <v>3.2</v>
      </c>
      <c r="P39" s="58"/>
    </row>
    <row r="40" spans="1:16" x14ac:dyDescent="0.3">
      <c r="A40" s="19" t="s">
        <v>22</v>
      </c>
      <c r="B40" s="32">
        <v>37500</v>
      </c>
      <c r="C40" s="32">
        <v>37600</v>
      </c>
      <c r="D40" s="31" t="s">
        <v>23</v>
      </c>
      <c r="F40" s="82">
        <v>46217</v>
      </c>
      <c r="G40" s="33">
        <v>1856250</v>
      </c>
      <c r="H40" s="33">
        <v>1861200</v>
      </c>
      <c r="I40" s="33">
        <v>49.5</v>
      </c>
      <c r="P40" s="58"/>
    </row>
    <row r="41" spans="1:16" x14ac:dyDescent="0.3">
      <c r="A41" s="19" t="s">
        <v>22</v>
      </c>
      <c r="B41" s="32">
        <v>37500</v>
      </c>
      <c r="C41" s="32">
        <v>37600</v>
      </c>
      <c r="D41" s="31" t="s">
        <v>23</v>
      </c>
      <c r="F41" s="82">
        <v>46217</v>
      </c>
      <c r="G41" s="33">
        <v>1854000</v>
      </c>
      <c r="H41" s="33">
        <v>1858944</v>
      </c>
      <c r="I41" s="33">
        <v>49.44</v>
      </c>
      <c r="P41" s="58"/>
    </row>
    <row r="42" spans="1:16" x14ac:dyDescent="0.3">
      <c r="A42" s="19" t="s">
        <v>22</v>
      </c>
      <c r="B42" s="32">
        <v>37500</v>
      </c>
      <c r="C42" s="32">
        <v>37600</v>
      </c>
      <c r="D42" s="31" t="s">
        <v>23</v>
      </c>
      <c r="F42" s="82">
        <v>46217</v>
      </c>
      <c r="G42" s="33">
        <v>1462125</v>
      </c>
      <c r="H42" s="33">
        <v>1466024</v>
      </c>
      <c r="I42" s="33">
        <v>38.99</v>
      </c>
      <c r="P42" s="58"/>
    </row>
    <row r="43" spans="1:16" x14ac:dyDescent="0.3">
      <c r="A43" s="19" t="s">
        <v>22</v>
      </c>
      <c r="B43" s="32">
        <v>37500</v>
      </c>
      <c r="C43" s="32">
        <v>37600</v>
      </c>
      <c r="D43" s="31" t="s">
        <v>23</v>
      </c>
      <c r="F43" s="82">
        <v>46217</v>
      </c>
      <c r="G43" s="33">
        <v>588375</v>
      </c>
      <c r="H43" s="33">
        <v>589944</v>
      </c>
      <c r="I43" s="33">
        <v>15.69</v>
      </c>
      <c r="P43" s="58"/>
    </row>
    <row r="44" spans="1:16" x14ac:dyDescent="0.3">
      <c r="A44" s="19" t="s">
        <v>22</v>
      </c>
      <c r="B44" s="32">
        <v>37500</v>
      </c>
      <c r="C44" s="32">
        <v>37600</v>
      </c>
      <c r="D44" s="31" t="s">
        <v>23</v>
      </c>
      <c r="F44" s="82">
        <v>46217</v>
      </c>
      <c r="G44" s="33">
        <v>1976250</v>
      </c>
      <c r="H44" s="33">
        <v>1981520</v>
      </c>
      <c r="I44" s="33">
        <v>52.7</v>
      </c>
      <c r="P44" s="58"/>
    </row>
    <row r="45" spans="1:16" x14ac:dyDescent="0.3">
      <c r="A45" s="19" t="s">
        <v>22</v>
      </c>
      <c r="B45" s="32">
        <v>37500</v>
      </c>
      <c r="C45" s="32">
        <v>37600</v>
      </c>
      <c r="D45" s="31" t="s">
        <v>23</v>
      </c>
      <c r="F45" s="82">
        <v>46217</v>
      </c>
      <c r="G45" s="33">
        <v>1020000</v>
      </c>
      <c r="H45" s="33">
        <v>1022720</v>
      </c>
      <c r="I45" s="33">
        <v>27.2</v>
      </c>
      <c r="P45" s="58"/>
    </row>
    <row r="46" spans="1:16" x14ac:dyDescent="0.3">
      <c r="A46" s="19" t="s">
        <v>22</v>
      </c>
      <c r="B46" s="32">
        <v>37500</v>
      </c>
      <c r="C46" s="32">
        <v>37600</v>
      </c>
      <c r="D46" s="31" t="s">
        <v>23</v>
      </c>
      <c r="F46" s="82">
        <v>46217</v>
      </c>
      <c r="G46" s="33">
        <v>120000</v>
      </c>
      <c r="H46" s="33">
        <v>120320</v>
      </c>
      <c r="I46" s="33">
        <v>3.2</v>
      </c>
      <c r="P46" s="58"/>
    </row>
    <row r="47" spans="1:16" x14ac:dyDescent="0.3">
      <c r="A47" s="19" t="s">
        <v>22</v>
      </c>
      <c r="B47" s="32">
        <v>37500</v>
      </c>
      <c r="C47" s="32">
        <v>37600</v>
      </c>
      <c r="D47" s="31" t="s">
        <v>23</v>
      </c>
      <c r="F47" s="82">
        <v>46217</v>
      </c>
      <c r="G47" s="33">
        <v>120000</v>
      </c>
      <c r="H47" s="33">
        <v>120320</v>
      </c>
      <c r="I47" s="33">
        <v>3.2</v>
      </c>
      <c r="P47" s="58"/>
    </row>
    <row r="48" spans="1:16" x14ac:dyDescent="0.3">
      <c r="A48" s="19" t="s">
        <v>22</v>
      </c>
      <c r="B48" s="32">
        <v>37500</v>
      </c>
      <c r="C48" s="32">
        <v>37600</v>
      </c>
      <c r="D48" s="31" t="s">
        <v>23</v>
      </c>
      <c r="F48" s="82">
        <v>46217</v>
      </c>
      <c r="G48" s="33">
        <v>368625</v>
      </c>
      <c r="H48" s="33">
        <v>369608</v>
      </c>
      <c r="I48" s="33">
        <v>9.83</v>
      </c>
      <c r="P48" s="58"/>
    </row>
    <row r="49" spans="1:16" x14ac:dyDescent="0.3">
      <c r="A49" s="19" t="s">
        <v>22</v>
      </c>
      <c r="B49" s="32">
        <v>37500</v>
      </c>
      <c r="C49" s="32">
        <v>37600</v>
      </c>
      <c r="D49" s="31" t="s">
        <v>23</v>
      </c>
      <c r="F49" s="82">
        <v>46217</v>
      </c>
      <c r="G49" s="33">
        <v>957375</v>
      </c>
      <c r="H49" s="33">
        <v>959928</v>
      </c>
      <c r="I49" s="33">
        <v>25.53</v>
      </c>
      <c r="P49" s="58"/>
    </row>
    <row r="50" spans="1:16" x14ac:dyDescent="0.3">
      <c r="A50" s="19" t="s">
        <v>22</v>
      </c>
      <c r="B50" s="32">
        <v>37500</v>
      </c>
      <c r="C50" s="32">
        <v>37600</v>
      </c>
      <c r="D50" s="31" t="s">
        <v>23</v>
      </c>
      <c r="F50" s="82">
        <v>46217</v>
      </c>
      <c r="G50" s="33">
        <v>733500</v>
      </c>
      <c r="H50" s="33">
        <v>735456</v>
      </c>
      <c r="I50" s="33">
        <v>19.559999999999999</v>
      </c>
      <c r="P50" s="58"/>
    </row>
    <row r="51" spans="1:16" x14ac:dyDescent="0.3">
      <c r="A51" s="19" t="s">
        <v>22</v>
      </c>
      <c r="B51" s="32">
        <v>37500</v>
      </c>
      <c r="C51" s="32">
        <v>37600</v>
      </c>
      <c r="D51" s="31" t="s">
        <v>23</v>
      </c>
      <c r="F51" s="82">
        <v>46217</v>
      </c>
      <c r="G51" s="33">
        <v>2197500</v>
      </c>
      <c r="H51" s="33">
        <v>2203360</v>
      </c>
      <c r="I51" s="33">
        <v>58.6</v>
      </c>
      <c r="P51" s="58"/>
    </row>
    <row r="52" spans="1:16" x14ac:dyDescent="0.3">
      <c r="A52" s="19" t="s">
        <v>22</v>
      </c>
      <c r="B52" s="32">
        <v>37500</v>
      </c>
      <c r="C52" s="32">
        <v>37600</v>
      </c>
      <c r="D52" s="31" t="s">
        <v>23</v>
      </c>
      <c r="F52" s="82">
        <v>46217</v>
      </c>
      <c r="G52" s="33">
        <v>1053750</v>
      </c>
      <c r="H52" s="33">
        <v>1056560</v>
      </c>
      <c r="I52" s="33">
        <v>28.1</v>
      </c>
      <c r="P52" s="58"/>
    </row>
    <row r="53" spans="1:16" x14ac:dyDescent="0.3">
      <c r="A53" s="19" t="s">
        <v>22</v>
      </c>
      <c r="B53" s="32">
        <v>37500</v>
      </c>
      <c r="C53" s="32">
        <v>37600</v>
      </c>
      <c r="D53" s="31" t="s">
        <v>23</v>
      </c>
      <c r="F53" s="82">
        <v>46217</v>
      </c>
      <c r="G53" s="33">
        <v>2089500</v>
      </c>
      <c r="H53" s="33">
        <v>2095072</v>
      </c>
      <c r="I53" s="33">
        <v>55.72</v>
      </c>
      <c r="P53" s="58"/>
    </row>
    <row r="54" spans="1:16" x14ac:dyDescent="0.3">
      <c r="A54" s="19" t="s">
        <v>22</v>
      </c>
      <c r="B54" s="32">
        <v>37500</v>
      </c>
      <c r="C54" s="32">
        <v>37600</v>
      </c>
      <c r="D54" s="31" t="s">
        <v>23</v>
      </c>
      <c r="F54" s="82">
        <v>46217</v>
      </c>
      <c r="G54" s="33">
        <v>573000</v>
      </c>
      <c r="H54" s="33">
        <v>574528</v>
      </c>
      <c r="I54" s="33">
        <v>15.28</v>
      </c>
      <c r="P54" s="58"/>
    </row>
    <row r="55" spans="1:16" x14ac:dyDescent="0.3">
      <c r="A55" s="19" t="s">
        <v>22</v>
      </c>
      <c r="B55" s="32">
        <v>37500</v>
      </c>
      <c r="C55" s="32">
        <v>37600</v>
      </c>
      <c r="D55" s="31" t="s">
        <v>23</v>
      </c>
      <c r="F55" s="82">
        <v>46217</v>
      </c>
      <c r="G55" s="33">
        <v>1353000</v>
      </c>
      <c r="H55" s="33">
        <v>1356608</v>
      </c>
      <c r="I55" s="33">
        <v>36.08</v>
      </c>
      <c r="P55" s="58"/>
    </row>
    <row r="56" spans="1:16" x14ac:dyDescent="0.3">
      <c r="A56" s="19" t="s">
        <v>22</v>
      </c>
      <c r="B56" s="32">
        <v>37500</v>
      </c>
      <c r="C56" s="32">
        <v>37600</v>
      </c>
      <c r="D56" s="31" t="s">
        <v>23</v>
      </c>
      <c r="F56" s="82">
        <v>46218</v>
      </c>
      <c r="G56" s="33">
        <v>239250</v>
      </c>
      <c r="H56" s="33">
        <v>239888</v>
      </c>
      <c r="I56" s="33">
        <v>6.38</v>
      </c>
      <c r="P56" s="58"/>
    </row>
    <row r="57" spans="1:16" x14ac:dyDescent="0.3">
      <c r="A57" s="19" t="s">
        <v>22</v>
      </c>
      <c r="B57" s="32">
        <v>37500</v>
      </c>
      <c r="C57" s="32">
        <v>37600</v>
      </c>
      <c r="D57" s="31" t="s">
        <v>23</v>
      </c>
      <c r="F57" s="82">
        <v>46218</v>
      </c>
      <c r="G57" s="33">
        <v>119250</v>
      </c>
      <c r="H57" s="33">
        <v>119568</v>
      </c>
      <c r="I57" s="33">
        <v>3.18</v>
      </c>
      <c r="P57" s="58"/>
    </row>
    <row r="58" spans="1:16" x14ac:dyDescent="0.3">
      <c r="A58" s="19" t="s">
        <v>22</v>
      </c>
      <c r="B58" s="32">
        <v>37500</v>
      </c>
      <c r="C58" s="32">
        <v>37600</v>
      </c>
      <c r="D58" s="31" t="s">
        <v>23</v>
      </c>
      <c r="F58" s="82">
        <v>46218</v>
      </c>
      <c r="G58" s="33">
        <v>1832250</v>
      </c>
      <c r="H58" s="33">
        <v>1837136</v>
      </c>
      <c r="I58" s="33">
        <v>48.86</v>
      </c>
      <c r="P58" s="58"/>
    </row>
    <row r="59" spans="1:16" x14ac:dyDescent="0.3">
      <c r="A59" s="19" t="s">
        <v>22</v>
      </c>
      <c r="B59" s="32">
        <v>37500</v>
      </c>
      <c r="C59" s="32">
        <v>37600</v>
      </c>
      <c r="D59" s="31" t="s">
        <v>23</v>
      </c>
      <c r="F59" s="82">
        <v>46218</v>
      </c>
      <c r="G59" s="33">
        <v>1492875</v>
      </c>
      <c r="H59" s="33">
        <v>1496856</v>
      </c>
      <c r="I59" s="33">
        <v>39.81</v>
      </c>
      <c r="P59" s="58"/>
    </row>
    <row r="60" spans="1:16" x14ac:dyDescent="0.3">
      <c r="A60" s="19" t="s">
        <v>22</v>
      </c>
      <c r="B60" s="32">
        <v>37500</v>
      </c>
      <c r="C60" s="32">
        <v>37600</v>
      </c>
      <c r="D60" s="31" t="s">
        <v>23</v>
      </c>
      <c r="F60" s="82">
        <v>46218</v>
      </c>
      <c r="G60" s="33">
        <v>148500</v>
      </c>
      <c r="H60" s="33">
        <v>148896</v>
      </c>
      <c r="I60" s="33">
        <v>3.96</v>
      </c>
      <c r="P60" s="58"/>
    </row>
    <row r="61" spans="1:16" x14ac:dyDescent="0.3">
      <c r="A61" s="19" t="s">
        <v>22</v>
      </c>
      <c r="B61" s="32">
        <v>37500</v>
      </c>
      <c r="C61" s="32">
        <v>37600</v>
      </c>
      <c r="D61" s="31" t="s">
        <v>23</v>
      </c>
      <c r="F61" s="82">
        <v>46218</v>
      </c>
      <c r="G61" s="33">
        <v>454499.99999999994</v>
      </c>
      <c r="H61" s="33">
        <v>455711.99999999994</v>
      </c>
      <c r="I61" s="33">
        <v>12.12</v>
      </c>
      <c r="P61" s="58"/>
    </row>
    <row r="62" spans="1:16" x14ac:dyDescent="0.3">
      <c r="A62" s="19" t="s">
        <v>22</v>
      </c>
      <c r="B62" s="32">
        <v>37500</v>
      </c>
      <c r="C62" s="32">
        <v>37600</v>
      </c>
      <c r="D62" s="31" t="s">
        <v>23</v>
      </c>
      <c r="F62" s="82">
        <v>46218</v>
      </c>
      <c r="G62" s="33">
        <v>215625</v>
      </c>
      <c r="H62" s="33">
        <v>216200</v>
      </c>
      <c r="I62" s="33">
        <v>5.75</v>
      </c>
      <c r="P62" s="58"/>
    </row>
    <row r="63" spans="1:16" x14ac:dyDescent="0.3">
      <c r="A63" s="19" t="s">
        <v>22</v>
      </c>
      <c r="B63" s="32">
        <v>37500</v>
      </c>
      <c r="C63" s="32">
        <v>37600</v>
      </c>
      <c r="D63" s="31" t="s">
        <v>23</v>
      </c>
      <c r="F63" s="82">
        <v>46217</v>
      </c>
      <c r="G63" s="33">
        <v>875250</v>
      </c>
      <c r="H63" s="33">
        <v>877584</v>
      </c>
      <c r="I63" s="33">
        <v>23.34</v>
      </c>
      <c r="P63" s="58"/>
    </row>
    <row r="64" spans="1:16" x14ac:dyDescent="0.3">
      <c r="A64" s="19" t="s">
        <v>22</v>
      </c>
      <c r="B64" s="32">
        <v>37500</v>
      </c>
      <c r="C64" s="32">
        <v>37600</v>
      </c>
      <c r="D64" s="31" t="s">
        <v>23</v>
      </c>
      <c r="F64" s="82">
        <v>46217</v>
      </c>
      <c r="G64" s="33">
        <v>725625</v>
      </c>
      <c r="H64" s="33">
        <v>727560</v>
      </c>
      <c r="I64" s="33">
        <v>19.350000000000001</v>
      </c>
      <c r="P64" s="58"/>
    </row>
    <row r="65" spans="1:16" x14ac:dyDescent="0.3">
      <c r="A65" s="19" t="s">
        <v>22</v>
      </c>
      <c r="B65" s="32">
        <v>37500</v>
      </c>
      <c r="C65" s="32">
        <v>37600</v>
      </c>
      <c r="D65" s="31" t="s">
        <v>23</v>
      </c>
      <c r="F65" s="82">
        <v>46217</v>
      </c>
      <c r="G65" s="33">
        <v>379875.00000000006</v>
      </c>
      <c r="H65" s="33">
        <v>380888.00000000006</v>
      </c>
      <c r="I65" s="33">
        <v>10.130000000000001</v>
      </c>
      <c r="P65" s="58"/>
    </row>
    <row r="66" spans="1:16" x14ac:dyDescent="0.3">
      <c r="A66" s="19" t="s">
        <v>22</v>
      </c>
      <c r="B66" s="32">
        <v>37500</v>
      </c>
      <c r="C66" s="32">
        <v>37600</v>
      </c>
      <c r="D66" s="31" t="s">
        <v>25</v>
      </c>
      <c r="E66" s="19" t="s">
        <v>24</v>
      </c>
      <c r="F66" s="82">
        <v>46218</v>
      </c>
      <c r="G66" s="33">
        <v>119250</v>
      </c>
      <c r="H66" s="33">
        <v>119568</v>
      </c>
      <c r="I66" s="33">
        <v>3.18</v>
      </c>
      <c r="P66" s="58"/>
    </row>
    <row r="67" spans="1:16" x14ac:dyDescent="0.3">
      <c r="A67" s="19" t="s">
        <v>22</v>
      </c>
      <c r="B67" s="32">
        <v>37500</v>
      </c>
      <c r="C67" s="32">
        <v>37600</v>
      </c>
      <c r="D67" s="31" t="s">
        <v>25</v>
      </c>
      <c r="F67" s="82">
        <v>46218</v>
      </c>
      <c r="G67" s="33">
        <v>743624.99999999988</v>
      </c>
      <c r="H67" s="33">
        <v>745607.99999999988</v>
      </c>
      <c r="I67" s="33">
        <v>19.829999999999998</v>
      </c>
      <c r="P67" s="58"/>
    </row>
    <row r="68" spans="1:16" x14ac:dyDescent="0.3">
      <c r="A68" s="19" t="s">
        <v>22</v>
      </c>
      <c r="B68" s="32">
        <v>37500</v>
      </c>
      <c r="C68" s="32">
        <v>37600</v>
      </c>
      <c r="D68" s="31" t="s">
        <v>25</v>
      </c>
      <c r="F68" s="82">
        <v>46218</v>
      </c>
      <c r="G68" s="33">
        <v>664125</v>
      </c>
      <c r="H68" s="33">
        <v>665896</v>
      </c>
      <c r="I68" s="33">
        <v>17.71</v>
      </c>
      <c r="P68" s="58"/>
    </row>
    <row r="69" spans="1:16" x14ac:dyDescent="0.3">
      <c r="A69" s="19" t="s">
        <v>22</v>
      </c>
      <c r="B69" s="32">
        <v>37500</v>
      </c>
      <c r="C69" s="32">
        <v>37600</v>
      </c>
      <c r="D69" s="31" t="s">
        <v>25</v>
      </c>
      <c r="F69" s="82">
        <v>46218</v>
      </c>
      <c r="G69" s="33">
        <v>365250</v>
      </c>
      <c r="H69" s="33">
        <v>366224</v>
      </c>
      <c r="I69" s="33">
        <v>9.74</v>
      </c>
      <c r="P69" s="58"/>
    </row>
    <row r="70" spans="1:16" x14ac:dyDescent="0.3">
      <c r="A70" s="19" t="s">
        <v>22</v>
      </c>
      <c r="B70" s="32">
        <v>37500</v>
      </c>
      <c r="C70" s="32">
        <v>37600</v>
      </c>
      <c r="D70" s="31" t="s">
        <v>25</v>
      </c>
      <c r="F70" s="82">
        <v>46218</v>
      </c>
      <c r="G70" s="33">
        <v>758999.99999999988</v>
      </c>
      <c r="H70" s="33">
        <v>761023.99999999988</v>
      </c>
      <c r="I70" s="33">
        <v>20.239999999999998</v>
      </c>
      <c r="P70" s="58"/>
    </row>
    <row r="71" spans="1:16" x14ac:dyDescent="0.3">
      <c r="A71" s="19" t="s">
        <v>22</v>
      </c>
      <c r="B71" s="32">
        <v>37500</v>
      </c>
      <c r="C71" s="32">
        <v>37600</v>
      </c>
      <c r="D71" s="31" t="s">
        <v>25</v>
      </c>
      <c r="F71" s="82">
        <v>46217</v>
      </c>
      <c r="G71" s="33">
        <v>120000</v>
      </c>
      <c r="H71" s="33">
        <v>120320</v>
      </c>
      <c r="I71" s="33">
        <v>3.2</v>
      </c>
      <c r="P71" s="58"/>
    </row>
    <row r="72" spans="1:16" x14ac:dyDescent="0.3">
      <c r="A72" s="19" t="s">
        <v>22</v>
      </c>
      <c r="B72" s="32">
        <v>37500</v>
      </c>
      <c r="C72" s="32">
        <v>37600</v>
      </c>
      <c r="D72" s="31" t="s">
        <v>25</v>
      </c>
      <c r="F72" s="82">
        <v>46217</v>
      </c>
      <c r="G72" s="33">
        <v>518625</v>
      </c>
      <c r="H72" s="33">
        <v>520008</v>
      </c>
      <c r="I72" s="33">
        <v>13.83</v>
      </c>
      <c r="P72" s="58"/>
    </row>
    <row r="73" spans="1:16" x14ac:dyDescent="0.3">
      <c r="A73" s="19" t="s">
        <v>22</v>
      </c>
      <c r="B73" s="32">
        <v>37500</v>
      </c>
      <c r="C73" s="32">
        <v>37600</v>
      </c>
      <c r="D73" s="31" t="s">
        <v>25</v>
      </c>
      <c r="F73" s="82">
        <v>46217</v>
      </c>
      <c r="G73" s="33">
        <v>222000</v>
      </c>
      <c r="H73" s="33">
        <v>222592</v>
      </c>
      <c r="I73" s="33">
        <v>5.92</v>
      </c>
      <c r="P73" s="58"/>
    </row>
    <row r="74" spans="1:16" x14ac:dyDescent="0.3">
      <c r="A74" s="19" t="s">
        <v>22</v>
      </c>
      <c r="B74" s="32">
        <v>37500</v>
      </c>
      <c r="C74" s="32">
        <v>37600</v>
      </c>
      <c r="D74" s="31" t="s">
        <v>25</v>
      </c>
      <c r="F74" s="82">
        <v>46217</v>
      </c>
      <c r="G74" s="33">
        <v>1179375</v>
      </c>
      <c r="H74" s="33">
        <v>1182520</v>
      </c>
      <c r="I74" s="33">
        <v>31.45</v>
      </c>
      <c r="P74" s="58"/>
    </row>
    <row r="75" spans="1:16" x14ac:dyDescent="0.3">
      <c r="A75" s="19" t="s">
        <v>22</v>
      </c>
      <c r="B75" s="32">
        <v>37500</v>
      </c>
      <c r="C75" s="32">
        <v>37600</v>
      </c>
      <c r="D75" s="31" t="s">
        <v>25</v>
      </c>
      <c r="F75" s="82">
        <v>46217</v>
      </c>
      <c r="G75" s="33">
        <v>532500</v>
      </c>
      <c r="H75" s="33">
        <v>533920</v>
      </c>
      <c r="I75" s="33">
        <v>14.2</v>
      </c>
      <c r="P75" s="58"/>
    </row>
    <row r="76" spans="1:16" x14ac:dyDescent="0.3">
      <c r="A76" s="19" t="s">
        <v>22</v>
      </c>
      <c r="B76" s="32">
        <v>37500</v>
      </c>
      <c r="C76" s="32">
        <v>37600</v>
      </c>
      <c r="D76" s="31" t="s">
        <v>26</v>
      </c>
      <c r="E76" s="19" t="s">
        <v>24</v>
      </c>
      <c r="F76" s="82">
        <v>46217</v>
      </c>
      <c r="G76" s="33">
        <v>118312.49999999999</v>
      </c>
      <c r="H76" s="33">
        <v>118627.99999999999</v>
      </c>
      <c r="I76" s="33">
        <v>3.1549999999999998</v>
      </c>
      <c r="P76" s="58"/>
    </row>
    <row r="77" spans="1:16" x14ac:dyDescent="0.3">
      <c r="A77" s="19" t="s">
        <v>22</v>
      </c>
      <c r="B77" s="32">
        <v>37500</v>
      </c>
      <c r="C77" s="32">
        <v>37600</v>
      </c>
      <c r="D77" s="31" t="s">
        <v>26</v>
      </c>
      <c r="F77" s="82">
        <v>46217</v>
      </c>
      <c r="G77" s="33">
        <v>370875</v>
      </c>
      <c r="H77" s="33">
        <v>371864</v>
      </c>
      <c r="I77" s="33">
        <v>9.89</v>
      </c>
      <c r="P77" s="58"/>
    </row>
    <row r="78" spans="1:16" x14ac:dyDescent="0.3">
      <c r="A78" s="19" t="s">
        <v>22</v>
      </c>
      <c r="B78" s="32">
        <v>37500</v>
      </c>
      <c r="C78" s="32">
        <v>37600</v>
      </c>
      <c r="D78" s="31" t="s">
        <v>26</v>
      </c>
      <c r="F78" s="82">
        <v>46217</v>
      </c>
      <c r="G78" s="33">
        <v>296062.5</v>
      </c>
      <c r="H78" s="33">
        <v>296852</v>
      </c>
      <c r="I78" s="33">
        <v>7.8949999999999996</v>
      </c>
      <c r="P78" s="58"/>
    </row>
    <row r="79" spans="1:16" x14ac:dyDescent="0.3">
      <c r="A79" s="19" t="s">
        <v>22</v>
      </c>
      <c r="B79" s="32">
        <v>37500</v>
      </c>
      <c r="C79" s="32">
        <v>37600</v>
      </c>
      <c r="D79" s="31" t="s">
        <v>26</v>
      </c>
      <c r="F79" s="82">
        <v>46217</v>
      </c>
      <c r="G79" s="33">
        <v>369562.5</v>
      </c>
      <c r="H79" s="33">
        <v>370548</v>
      </c>
      <c r="I79" s="33">
        <v>9.8550000000000004</v>
      </c>
      <c r="P79" s="58"/>
    </row>
    <row r="80" spans="1:16" x14ac:dyDescent="0.3">
      <c r="A80" s="19" t="s">
        <v>22</v>
      </c>
      <c r="B80" s="32">
        <v>37500</v>
      </c>
      <c r="C80" s="32">
        <v>37600</v>
      </c>
      <c r="D80" s="31" t="s">
        <v>26</v>
      </c>
      <c r="F80" s="82">
        <v>46217</v>
      </c>
      <c r="G80" s="33">
        <v>369000</v>
      </c>
      <c r="H80" s="33">
        <v>369984</v>
      </c>
      <c r="I80" s="33">
        <v>9.84</v>
      </c>
      <c r="P80" s="58"/>
    </row>
    <row r="81" spans="1:16" x14ac:dyDescent="0.3">
      <c r="A81" s="19" t="s">
        <v>22</v>
      </c>
      <c r="B81" s="32">
        <v>37500</v>
      </c>
      <c r="C81" s="32">
        <v>37600</v>
      </c>
      <c r="D81" s="31" t="s">
        <v>26</v>
      </c>
      <c r="F81" s="82">
        <v>46217</v>
      </c>
      <c r="G81" s="33">
        <v>72562.5</v>
      </c>
      <c r="H81" s="33">
        <v>72756</v>
      </c>
      <c r="I81" s="33">
        <v>1.9350000000000001</v>
      </c>
      <c r="P81" s="58"/>
    </row>
    <row r="82" spans="1:16" x14ac:dyDescent="0.3">
      <c r="A82" s="19" t="s">
        <v>22</v>
      </c>
      <c r="B82" s="32">
        <v>37500</v>
      </c>
      <c r="C82" s="32">
        <v>37600</v>
      </c>
      <c r="D82" s="31" t="s">
        <v>26</v>
      </c>
      <c r="F82" s="82">
        <v>46218</v>
      </c>
      <c r="G82" s="33">
        <v>119250</v>
      </c>
      <c r="H82" s="33">
        <v>119568</v>
      </c>
      <c r="I82" s="33">
        <v>3.18</v>
      </c>
      <c r="P82" s="58"/>
    </row>
    <row r="83" spans="1:16" x14ac:dyDescent="0.3">
      <c r="A83" s="19" t="s">
        <v>22</v>
      </c>
      <c r="B83" s="32">
        <v>37500</v>
      </c>
      <c r="C83" s="32">
        <v>37600</v>
      </c>
      <c r="D83" s="31" t="s">
        <v>26</v>
      </c>
      <c r="F83" s="82">
        <v>46218</v>
      </c>
      <c r="G83" s="33">
        <v>596250</v>
      </c>
      <c r="H83" s="33">
        <v>597840</v>
      </c>
      <c r="I83" s="33">
        <v>15.9</v>
      </c>
      <c r="P83" s="58"/>
    </row>
    <row r="84" spans="1:16" x14ac:dyDescent="0.3">
      <c r="A84" s="19" t="s">
        <v>22</v>
      </c>
      <c r="B84" s="32">
        <v>37500</v>
      </c>
      <c r="C84" s="32">
        <v>37600</v>
      </c>
      <c r="D84" s="31" t="s">
        <v>26</v>
      </c>
      <c r="F84" s="82">
        <v>46218</v>
      </c>
      <c r="G84" s="33">
        <v>733125</v>
      </c>
      <c r="H84" s="33">
        <v>735080</v>
      </c>
      <c r="I84" s="33">
        <v>19.55</v>
      </c>
      <c r="P84" s="58"/>
    </row>
    <row r="85" spans="1:16" x14ac:dyDescent="0.3">
      <c r="A85" s="19" t="s">
        <v>22</v>
      </c>
      <c r="B85" s="32">
        <v>37500</v>
      </c>
      <c r="C85" s="32">
        <v>37600</v>
      </c>
      <c r="D85" s="31" t="s">
        <v>26</v>
      </c>
      <c r="F85" s="82">
        <v>46218</v>
      </c>
      <c r="G85" s="33">
        <v>528375</v>
      </c>
      <c r="H85" s="33">
        <v>529784</v>
      </c>
      <c r="I85" s="33">
        <v>14.09</v>
      </c>
      <c r="P85" s="58"/>
    </row>
    <row r="86" spans="1:16" x14ac:dyDescent="0.3">
      <c r="A86" s="19" t="s">
        <v>22</v>
      </c>
      <c r="B86" s="32">
        <v>37500</v>
      </c>
      <c r="C86" s="32">
        <v>37600</v>
      </c>
      <c r="D86" s="31" t="s">
        <v>27</v>
      </c>
      <c r="E86" s="19" t="s">
        <v>24</v>
      </c>
      <c r="F86" s="82">
        <v>46217</v>
      </c>
      <c r="G86" s="33">
        <v>59625</v>
      </c>
      <c r="H86" s="33">
        <v>59784</v>
      </c>
      <c r="I86" s="33">
        <v>1.59</v>
      </c>
      <c r="P86" s="58"/>
    </row>
    <row r="87" spans="1:16" x14ac:dyDescent="0.3">
      <c r="A87" s="19" t="s">
        <v>22</v>
      </c>
      <c r="B87" s="32">
        <v>37500</v>
      </c>
      <c r="C87" s="32">
        <v>37600</v>
      </c>
      <c r="D87" s="31" t="s">
        <v>27</v>
      </c>
      <c r="F87" s="82">
        <v>46217</v>
      </c>
      <c r="G87" s="33">
        <v>1096125</v>
      </c>
      <c r="H87" s="33">
        <v>1099048</v>
      </c>
      <c r="I87" s="33">
        <v>29.23</v>
      </c>
      <c r="P87" s="58"/>
    </row>
    <row r="88" spans="1:16" x14ac:dyDescent="0.3">
      <c r="A88" s="19" t="s">
        <v>22</v>
      </c>
      <c r="B88" s="32">
        <v>37500</v>
      </c>
      <c r="C88" s="32">
        <v>37600</v>
      </c>
      <c r="D88" s="31" t="s">
        <v>27</v>
      </c>
      <c r="F88" s="82">
        <v>46217</v>
      </c>
      <c r="G88" s="33">
        <v>146250</v>
      </c>
      <c r="H88" s="33">
        <v>146640</v>
      </c>
      <c r="I88" s="33">
        <v>3.9</v>
      </c>
      <c r="P88" s="58"/>
    </row>
    <row r="89" spans="1:16" x14ac:dyDescent="0.3">
      <c r="A89" s="19" t="s">
        <v>22</v>
      </c>
      <c r="B89" s="32">
        <v>37500</v>
      </c>
      <c r="C89" s="32">
        <v>37600</v>
      </c>
      <c r="D89" s="31" t="s">
        <v>27</v>
      </c>
      <c r="F89" s="82">
        <v>46217</v>
      </c>
      <c r="G89" s="33">
        <v>808500</v>
      </c>
      <c r="H89" s="33">
        <v>810656</v>
      </c>
      <c r="I89" s="33">
        <v>21.56</v>
      </c>
      <c r="P89" s="58"/>
    </row>
    <row r="90" spans="1:16" x14ac:dyDescent="0.3">
      <c r="A90" s="19" t="s">
        <v>22</v>
      </c>
      <c r="B90" s="32">
        <v>37500</v>
      </c>
      <c r="C90" s="32">
        <v>37600</v>
      </c>
      <c r="D90" s="31" t="s">
        <v>27</v>
      </c>
      <c r="F90" s="82">
        <v>46217</v>
      </c>
      <c r="G90" s="33">
        <v>119625</v>
      </c>
      <c r="H90" s="33">
        <v>119944</v>
      </c>
      <c r="I90" s="33">
        <v>3.19</v>
      </c>
      <c r="P90" s="58"/>
    </row>
    <row r="91" spans="1:16" x14ac:dyDescent="0.3">
      <c r="A91" s="19" t="s">
        <v>22</v>
      </c>
      <c r="B91" s="32">
        <v>37500</v>
      </c>
      <c r="C91" s="32">
        <v>37600</v>
      </c>
      <c r="D91" s="31" t="s">
        <v>27</v>
      </c>
      <c r="F91" s="82">
        <v>46217</v>
      </c>
      <c r="G91" s="33">
        <v>1100625</v>
      </c>
      <c r="H91" s="33">
        <v>1103560</v>
      </c>
      <c r="I91" s="33">
        <v>29.35</v>
      </c>
      <c r="P91" s="58"/>
    </row>
    <row r="92" spans="1:16" x14ac:dyDescent="0.3">
      <c r="A92" s="19" t="s">
        <v>22</v>
      </c>
      <c r="B92" s="32">
        <v>37500</v>
      </c>
      <c r="C92" s="32">
        <v>37600</v>
      </c>
      <c r="D92" s="31" t="s">
        <v>27</v>
      </c>
      <c r="F92" s="82">
        <v>46217</v>
      </c>
      <c r="G92" s="33">
        <v>806250</v>
      </c>
      <c r="H92" s="33">
        <v>808400</v>
      </c>
      <c r="I92" s="33">
        <v>21.5</v>
      </c>
      <c r="P92" s="58"/>
    </row>
    <row r="93" spans="1:16" x14ac:dyDescent="0.3">
      <c r="A93" s="19" t="s">
        <v>22</v>
      </c>
      <c r="B93" s="32">
        <v>37500</v>
      </c>
      <c r="C93" s="32">
        <v>37600</v>
      </c>
      <c r="D93" s="31" t="s">
        <v>27</v>
      </c>
      <c r="F93" s="82">
        <v>46218</v>
      </c>
      <c r="G93" s="33">
        <v>119625</v>
      </c>
      <c r="H93" s="33">
        <v>119944</v>
      </c>
      <c r="I93" s="33">
        <v>3.19</v>
      </c>
      <c r="P93" s="58"/>
    </row>
    <row r="94" spans="1:16" x14ac:dyDescent="0.3">
      <c r="A94" s="19" t="s">
        <v>22</v>
      </c>
      <c r="B94" s="32">
        <v>37500</v>
      </c>
      <c r="C94" s="32">
        <v>37600</v>
      </c>
      <c r="D94" s="31" t="s">
        <v>27</v>
      </c>
      <c r="F94" s="82">
        <v>46218</v>
      </c>
      <c r="G94" s="33">
        <v>1025250</v>
      </c>
      <c r="H94" s="33">
        <v>1027984</v>
      </c>
      <c r="I94" s="33">
        <v>27.34</v>
      </c>
      <c r="P94" s="58"/>
    </row>
    <row r="95" spans="1:16" x14ac:dyDescent="0.3">
      <c r="A95" s="19" t="s">
        <v>22</v>
      </c>
      <c r="B95" s="32">
        <v>37500</v>
      </c>
      <c r="C95" s="32">
        <v>37600</v>
      </c>
      <c r="D95" s="31" t="s">
        <v>27</v>
      </c>
      <c r="F95" s="82">
        <v>46218</v>
      </c>
      <c r="G95" s="33">
        <v>2051625</v>
      </c>
      <c r="H95" s="33">
        <v>2057096</v>
      </c>
      <c r="I95" s="33">
        <v>54.71</v>
      </c>
      <c r="P95" s="58"/>
    </row>
    <row r="96" spans="1:16" x14ac:dyDescent="0.3">
      <c r="A96" s="19" t="s">
        <v>22</v>
      </c>
      <c r="B96" s="32">
        <v>37500</v>
      </c>
      <c r="C96" s="32">
        <v>37600</v>
      </c>
      <c r="D96" s="31" t="s">
        <v>27</v>
      </c>
      <c r="F96" s="82">
        <v>46217</v>
      </c>
      <c r="G96" s="33">
        <v>62250</v>
      </c>
      <c r="H96" s="33">
        <v>62416</v>
      </c>
      <c r="I96" s="33">
        <v>1.66</v>
      </c>
      <c r="P96" s="58"/>
    </row>
    <row r="97" spans="1:16" x14ac:dyDescent="0.3">
      <c r="A97" s="19" t="s">
        <v>22</v>
      </c>
      <c r="B97" s="32">
        <v>37500</v>
      </c>
      <c r="C97" s="32">
        <v>37600</v>
      </c>
      <c r="D97" s="31" t="s">
        <v>27</v>
      </c>
      <c r="F97" s="82">
        <v>46217</v>
      </c>
      <c r="G97" s="33">
        <v>458625</v>
      </c>
      <c r="H97" s="33">
        <v>459848</v>
      </c>
      <c r="I97" s="33">
        <v>12.23</v>
      </c>
      <c r="P97" s="58"/>
    </row>
    <row r="98" spans="1:16" x14ac:dyDescent="0.3">
      <c r="A98" s="19" t="s">
        <v>22</v>
      </c>
      <c r="B98" s="32">
        <v>37500</v>
      </c>
      <c r="C98" s="32">
        <v>37600</v>
      </c>
      <c r="D98" s="31" t="s">
        <v>27</v>
      </c>
      <c r="F98" s="82">
        <v>46217</v>
      </c>
      <c r="G98" s="33">
        <v>436875</v>
      </c>
      <c r="H98" s="33">
        <v>438040</v>
      </c>
      <c r="I98" s="33">
        <v>11.65</v>
      </c>
      <c r="P98" s="58"/>
    </row>
    <row r="99" spans="1:16" x14ac:dyDescent="0.3">
      <c r="A99" s="19" t="s">
        <v>22</v>
      </c>
      <c r="B99" s="32">
        <v>37500</v>
      </c>
      <c r="C99" s="32">
        <v>37600</v>
      </c>
      <c r="D99" s="31" t="s">
        <v>27</v>
      </c>
      <c r="F99" s="82">
        <v>46217</v>
      </c>
      <c r="G99" s="33">
        <v>1603125</v>
      </c>
      <c r="H99" s="33">
        <v>1607400</v>
      </c>
      <c r="I99" s="33">
        <v>42.75</v>
      </c>
      <c r="P99" s="58"/>
    </row>
    <row r="100" spans="1:16" x14ac:dyDescent="0.3">
      <c r="A100" s="19" t="s">
        <v>22</v>
      </c>
      <c r="B100" s="32">
        <v>37500</v>
      </c>
      <c r="C100" s="32">
        <v>37600</v>
      </c>
      <c r="D100" s="31" t="s">
        <v>27</v>
      </c>
      <c r="F100" s="82">
        <v>46217</v>
      </c>
      <c r="G100" s="33">
        <v>1100625</v>
      </c>
      <c r="H100" s="33">
        <v>1103560</v>
      </c>
      <c r="I100" s="33">
        <v>29.35</v>
      </c>
      <c r="P100" s="58"/>
    </row>
    <row r="101" spans="1:16" x14ac:dyDescent="0.3">
      <c r="A101" s="19" t="s">
        <v>15</v>
      </c>
      <c r="B101" s="32">
        <v>38800</v>
      </c>
      <c r="C101" s="32">
        <v>40700</v>
      </c>
      <c r="D101" s="31" t="s">
        <v>28</v>
      </c>
      <c r="E101" s="19" t="s">
        <v>29</v>
      </c>
      <c r="F101" s="82">
        <v>46224</v>
      </c>
      <c r="G101" s="33">
        <v>1448792.0000000002</v>
      </c>
      <c r="H101" s="33">
        <v>1519738.0000000002</v>
      </c>
      <c r="I101" s="33">
        <v>37.340000000000003</v>
      </c>
      <c r="P101" s="58"/>
    </row>
    <row r="102" spans="1:16" x14ac:dyDescent="0.3">
      <c r="A102" s="19" t="s">
        <v>15</v>
      </c>
      <c r="B102" s="32">
        <v>38800</v>
      </c>
      <c r="C102" s="32">
        <v>40700</v>
      </c>
      <c r="D102" s="31" t="s">
        <v>28</v>
      </c>
      <c r="F102" s="82">
        <v>46224</v>
      </c>
      <c r="G102" s="33">
        <v>2750532</v>
      </c>
      <c r="H102" s="33">
        <v>2885223</v>
      </c>
      <c r="I102" s="33">
        <v>70.89</v>
      </c>
      <c r="P102" s="58"/>
    </row>
    <row r="103" spans="1:16" x14ac:dyDescent="0.3">
      <c r="A103" s="19" t="s">
        <v>15</v>
      </c>
      <c r="B103" s="32">
        <v>38800</v>
      </c>
      <c r="C103" s="32">
        <v>40700</v>
      </c>
      <c r="D103" s="31" t="s">
        <v>28</v>
      </c>
      <c r="F103" s="82">
        <v>46224</v>
      </c>
      <c r="G103" s="33">
        <v>783372</v>
      </c>
      <c r="H103" s="33">
        <v>821733</v>
      </c>
      <c r="I103" s="33">
        <v>20.190000000000001</v>
      </c>
      <c r="P103" s="58"/>
    </row>
    <row r="104" spans="1:16" x14ac:dyDescent="0.3">
      <c r="A104" s="19" t="s">
        <v>15</v>
      </c>
      <c r="B104" s="32">
        <v>38800</v>
      </c>
      <c r="C104" s="32">
        <v>40700</v>
      </c>
      <c r="D104" s="31" t="s">
        <v>28</v>
      </c>
      <c r="F104" s="82">
        <v>46224</v>
      </c>
      <c r="G104" s="33">
        <v>151708</v>
      </c>
      <c r="H104" s="33">
        <v>159137</v>
      </c>
      <c r="I104" s="33">
        <v>3.91</v>
      </c>
      <c r="P104" s="58"/>
    </row>
    <row r="105" spans="1:16" x14ac:dyDescent="0.3">
      <c r="A105" s="19" t="s">
        <v>15</v>
      </c>
      <c r="B105" s="32">
        <v>38800</v>
      </c>
      <c r="C105" s="32">
        <v>40700</v>
      </c>
      <c r="D105" s="31" t="s">
        <v>28</v>
      </c>
      <c r="F105" s="82">
        <v>46224</v>
      </c>
      <c r="G105" s="33">
        <v>226980</v>
      </c>
      <c r="H105" s="33">
        <v>238095</v>
      </c>
      <c r="I105" s="33">
        <v>5.85</v>
      </c>
      <c r="P105" s="58"/>
    </row>
    <row r="106" spans="1:16" x14ac:dyDescent="0.3">
      <c r="A106" s="19" t="s">
        <v>8</v>
      </c>
      <c r="B106" s="32">
        <v>39400</v>
      </c>
      <c r="C106" s="32">
        <v>39950</v>
      </c>
      <c r="D106" s="31" t="s">
        <v>30</v>
      </c>
      <c r="E106" s="19" t="s">
        <v>31</v>
      </c>
      <c r="F106" s="82">
        <v>46232</v>
      </c>
      <c r="G106" s="33">
        <v>764360</v>
      </c>
      <c r="H106" s="33">
        <v>775030</v>
      </c>
      <c r="I106" s="33">
        <v>19.399999999999999</v>
      </c>
      <c r="P106" s="58"/>
    </row>
    <row r="107" spans="1:16" x14ac:dyDescent="0.3">
      <c r="A107" s="19" t="s">
        <v>8</v>
      </c>
      <c r="B107" s="32">
        <v>39400</v>
      </c>
      <c r="C107" s="32">
        <v>39950</v>
      </c>
      <c r="D107" s="31" t="s">
        <v>30</v>
      </c>
      <c r="F107" s="82">
        <v>46232</v>
      </c>
      <c r="G107" s="33">
        <v>541750</v>
      </c>
      <c r="H107" s="33">
        <v>549312.5</v>
      </c>
      <c r="I107" s="33">
        <v>13.75</v>
      </c>
      <c r="P107" s="58"/>
    </row>
    <row r="108" spans="1:16" x14ac:dyDescent="0.3">
      <c r="A108" s="19" t="s">
        <v>8</v>
      </c>
      <c r="B108" s="32">
        <v>39400</v>
      </c>
      <c r="C108" s="32">
        <v>39950</v>
      </c>
      <c r="D108" s="31" t="s">
        <v>30</v>
      </c>
      <c r="F108" s="82">
        <v>46232</v>
      </c>
      <c r="G108" s="33">
        <v>1487350</v>
      </c>
      <c r="H108" s="33">
        <v>1508112.5</v>
      </c>
      <c r="I108" s="33">
        <v>37.75</v>
      </c>
      <c r="P108" s="58"/>
    </row>
    <row r="109" spans="1:16" x14ac:dyDescent="0.3">
      <c r="A109" s="19" t="s">
        <v>8</v>
      </c>
      <c r="B109" s="32">
        <v>39400</v>
      </c>
      <c r="C109" s="32">
        <v>39950</v>
      </c>
      <c r="D109" s="31" t="s">
        <v>30</v>
      </c>
      <c r="F109" s="82">
        <v>46232</v>
      </c>
      <c r="G109" s="33">
        <v>890637</v>
      </c>
      <c r="H109" s="33">
        <v>903069.75</v>
      </c>
      <c r="I109" s="33">
        <v>22.605</v>
      </c>
      <c r="P109" s="58"/>
    </row>
    <row r="110" spans="1:16" x14ac:dyDescent="0.3">
      <c r="A110" s="19" t="s">
        <v>8</v>
      </c>
      <c r="B110" s="32">
        <v>39400</v>
      </c>
      <c r="C110" s="32">
        <v>39950</v>
      </c>
      <c r="D110" s="31" t="s">
        <v>30</v>
      </c>
      <c r="F110" s="82">
        <v>46232</v>
      </c>
      <c r="G110" s="33">
        <v>1095714</v>
      </c>
      <c r="H110" s="33">
        <v>1111009.5</v>
      </c>
      <c r="I110" s="33">
        <v>27.81</v>
      </c>
      <c r="P110" s="58"/>
    </row>
    <row r="111" spans="1:16" x14ac:dyDescent="0.3">
      <c r="A111" s="19" t="s">
        <v>8</v>
      </c>
      <c r="B111" s="32">
        <v>39400</v>
      </c>
      <c r="C111" s="32">
        <v>39950</v>
      </c>
      <c r="D111" s="31" t="s">
        <v>30</v>
      </c>
      <c r="F111" s="82">
        <v>46232</v>
      </c>
      <c r="G111" s="33">
        <v>695410</v>
      </c>
      <c r="H111" s="33">
        <v>705117.5</v>
      </c>
      <c r="I111" s="33">
        <v>17.649999999999999</v>
      </c>
      <c r="P111" s="58"/>
    </row>
    <row r="112" spans="1:16" x14ac:dyDescent="0.3">
      <c r="A112" s="19" t="s">
        <v>8</v>
      </c>
      <c r="B112" s="32">
        <v>39400</v>
      </c>
      <c r="C112" s="32">
        <v>39950</v>
      </c>
      <c r="D112" s="31" t="s">
        <v>30</v>
      </c>
      <c r="F112" s="82">
        <v>46232</v>
      </c>
      <c r="G112" s="33">
        <v>1566544</v>
      </c>
      <c r="H112" s="33">
        <v>1588412</v>
      </c>
      <c r="I112" s="33">
        <v>39.76</v>
      </c>
      <c r="P112" s="58"/>
    </row>
    <row r="113" spans="1:16" x14ac:dyDescent="0.3">
      <c r="A113" s="19" t="s">
        <v>32</v>
      </c>
      <c r="B113" s="32">
        <v>37800</v>
      </c>
      <c r="C113" s="32">
        <v>39250</v>
      </c>
      <c r="D113" s="31" t="s">
        <v>33</v>
      </c>
      <c r="E113" s="19" t="s">
        <v>34</v>
      </c>
      <c r="F113" s="82">
        <v>46224</v>
      </c>
      <c r="G113" s="33">
        <v>588924</v>
      </c>
      <c r="H113" s="33">
        <v>611515</v>
      </c>
      <c r="I113" s="33">
        <v>15.58</v>
      </c>
      <c r="P113" s="58"/>
    </row>
    <row r="114" spans="1:16" x14ac:dyDescent="0.3">
      <c r="A114" s="19" t="s">
        <v>32</v>
      </c>
      <c r="B114" s="32">
        <v>37800</v>
      </c>
      <c r="C114" s="32">
        <v>39250</v>
      </c>
      <c r="D114" s="31" t="s">
        <v>33</v>
      </c>
      <c r="F114" s="82">
        <v>46224</v>
      </c>
      <c r="G114" s="33">
        <v>148554</v>
      </c>
      <c r="H114" s="33">
        <v>154252.5</v>
      </c>
      <c r="I114" s="33">
        <v>3.93</v>
      </c>
      <c r="P114" s="58"/>
    </row>
    <row r="115" spans="1:16" x14ac:dyDescent="0.3">
      <c r="A115" s="19" t="s">
        <v>32</v>
      </c>
      <c r="B115" s="32">
        <v>37800</v>
      </c>
      <c r="C115" s="32">
        <v>39250</v>
      </c>
      <c r="D115" s="31" t="s">
        <v>33</v>
      </c>
      <c r="F115" s="82">
        <v>46224</v>
      </c>
      <c r="G115" s="33">
        <v>592704</v>
      </c>
      <c r="H115" s="33">
        <v>615440</v>
      </c>
      <c r="I115" s="33">
        <v>15.68</v>
      </c>
      <c r="P115" s="58"/>
    </row>
    <row r="116" spans="1:16" x14ac:dyDescent="0.3">
      <c r="A116" s="19" t="s">
        <v>32</v>
      </c>
      <c r="B116" s="32">
        <v>37800</v>
      </c>
      <c r="C116" s="32">
        <v>39250</v>
      </c>
      <c r="D116" s="31" t="s">
        <v>33</v>
      </c>
      <c r="F116" s="82">
        <v>46224</v>
      </c>
      <c r="G116" s="33">
        <v>147798</v>
      </c>
      <c r="H116" s="33">
        <v>153467.5</v>
      </c>
      <c r="I116" s="33">
        <v>3.91</v>
      </c>
      <c r="P116" s="58"/>
    </row>
    <row r="117" spans="1:16" x14ac:dyDescent="0.3">
      <c r="A117" s="19" t="s">
        <v>11</v>
      </c>
      <c r="B117" s="32">
        <v>37500</v>
      </c>
      <c r="C117" s="32">
        <v>37700</v>
      </c>
      <c r="D117" s="31">
        <v>26</v>
      </c>
      <c r="E117" s="19" t="s">
        <v>24</v>
      </c>
      <c r="F117" s="82">
        <v>46231</v>
      </c>
      <c r="G117" s="33">
        <v>2971500</v>
      </c>
      <c r="H117" s="33">
        <v>2987348</v>
      </c>
      <c r="I117" s="33">
        <v>79.239999999999995</v>
      </c>
      <c r="P117" s="58"/>
    </row>
    <row r="118" spans="1:16" x14ac:dyDescent="0.3">
      <c r="A118" s="19" t="s">
        <v>13</v>
      </c>
      <c r="B118" s="32">
        <v>38800</v>
      </c>
      <c r="C118" s="32">
        <v>40500</v>
      </c>
      <c r="D118" s="31">
        <v>27</v>
      </c>
      <c r="E118" s="19" t="s">
        <v>35</v>
      </c>
      <c r="F118" s="82">
        <v>46232</v>
      </c>
      <c r="G118" s="33">
        <v>1144212</v>
      </c>
      <c r="H118" s="33">
        <v>1194345</v>
      </c>
      <c r="I118" s="33">
        <v>29.490000000000002</v>
      </c>
      <c r="P118" s="58"/>
    </row>
    <row r="119" spans="1:16" x14ac:dyDescent="0.3">
      <c r="A119" s="19" t="s">
        <v>13</v>
      </c>
      <c r="B119" s="32">
        <v>38800</v>
      </c>
      <c r="C119" s="32">
        <v>40500</v>
      </c>
      <c r="D119" s="31">
        <v>27</v>
      </c>
      <c r="F119" s="82">
        <v>46232</v>
      </c>
      <c r="G119" s="33">
        <v>1520572</v>
      </c>
      <c r="H119" s="33">
        <v>1587195</v>
      </c>
      <c r="I119" s="33">
        <v>39.19</v>
      </c>
      <c r="P119" s="58"/>
    </row>
    <row r="120" spans="1:16" x14ac:dyDescent="0.3">
      <c r="A120" s="19" t="s">
        <v>13</v>
      </c>
      <c r="B120" s="32">
        <v>38800</v>
      </c>
      <c r="C120" s="32">
        <v>40500</v>
      </c>
      <c r="D120" s="31">
        <v>27</v>
      </c>
      <c r="F120" s="82">
        <v>46232</v>
      </c>
      <c r="G120" s="33">
        <v>1139944</v>
      </c>
      <c r="H120" s="33">
        <v>1189890</v>
      </c>
      <c r="I120" s="33">
        <v>29.38</v>
      </c>
      <c r="P120" s="58"/>
    </row>
    <row r="121" spans="1:16" x14ac:dyDescent="0.3">
      <c r="A121" s="19" t="s">
        <v>11</v>
      </c>
      <c r="B121" s="32">
        <v>38000</v>
      </c>
      <c r="C121" s="32">
        <v>38350</v>
      </c>
      <c r="D121" s="31">
        <v>28</v>
      </c>
      <c r="E121" s="19" t="s">
        <v>21</v>
      </c>
      <c r="F121" s="82">
        <v>46234</v>
      </c>
      <c r="G121" s="33">
        <v>1850600</v>
      </c>
      <c r="H121" s="33">
        <v>1867645</v>
      </c>
      <c r="I121" s="33">
        <v>48.7</v>
      </c>
      <c r="P121" s="58"/>
    </row>
    <row r="122" spans="1:16" x14ac:dyDescent="0.3">
      <c r="A122" s="19" t="s">
        <v>11</v>
      </c>
      <c r="B122" s="32">
        <v>38000</v>
      </c>
      <c r="C122" s="32">
        <v>38350</v>
      </c>
      <c r="D122" s="31">
        <v>28</v>
      </c>
      <c r="F122" s="82">
        <v>46234</v>
      </c>
      <c r="G122" s="33">
        <v>1862000</v>
      </c>
      <c r="H122" s="33">
        <v>1879150</v>
      </c>
      <c r="I122" s="33">
        <v>49</v>
      </c>
      <c r="P122" s="58"/>
    </row>
    <row r="123" spans="1:16" x14ac:dyDescent="0.3">
      <c r="A123" s="19" t="s">
        <v>8</v>
      </c>
      <c r="B123" s="32">
        <v>39450</v>
      </c>
      <c r="C123" s="32">
        <v>39950</v>
      </c>
      <c r="D123" s="31">
        <v>31</v>
      </c>
      <c r="E123" s="19" t="s">
        <v>31</v>
      </c>
      <c r="F123" s="82">
        <v>46240</v>
      </c>
      <c r="G123" s="33">
        <v>1952775</v>
      </c>
      <c r="H123" s="33">
        <v>1977525</v>
      </c>
      <c r="I123" s="33">
        <v>49.5</v>
      </c>
      <c r="P123" s="58"/>
    </row>
    <row r="124" spans="1:16" x14ac:dyDescent="0.3">
      <c r="A124" s="19" t="s">
        <v>8</v>
      </c>
      <c r="B124" s="32">
        <v>39450</v>
      </c>
      <c r="C124" s="32">
        <v>39950</v>
      </c>
      <c r="D124" s="31">
        <v>31</v>
      </c>
      <c r="F124" s="82">
        <v>46240</v>
      </c>
      <c r="G124" s="33">
        <v>1948041</v>
      </c>
      <c r="H124" s="33">
        <v>1972731</v>
      </c>
      <c r="I124" s="33">
        <v>49.38</v>
      </c>
      <c r="P124" s="58"/>
    </row>
    <row r="125" spans="1:16" x14ac:dyDescent="0.3">
      <c r="A125" s="19" t="s">
        <v>8</v>
      </c>
      <c r="B125" s="32">
        <v>39450</v>
      </c>
      <c r="C125" s="32">
        <v>39950</v>
      </c>
      <c r="D125" s="31">
        <v>31</v>
      </c>
      <c r="F125" s="82">
        <v>46240</v>
      </c>
      <c r="G125" s="33">
        <v>1958298</v>
      </c>
      <c r="H125" s="33">
        <v>1983118</v>
      </c>
      <c r="I125" s="33">
        <v>49.64</v>
      </c>
      <c r="P125" s="58"/>
    </row>
    <row r="126" spans="1:16" x14ac:dyDescent="0.3">
      <c r="A126" s="19" t="s">
        <v>8</v>
      </c>
      <c r="B126" s="32">
        <v>39450</v>
      </c>
      <c r="C126" s="32">
        <v>39950</v>
      </c>
      <c r="D126" s="31">
        <v>31</v>
      </c>
      <c r="F126" s="82">
        <v>46240</v>
      </c>
      <c r="G126" s="33">
        <v>2221429.5</v>
      </c>
      <c r="H126" s="33">
        <v>2249584.5</v>
      </c>
      <c r="I126" s="33">
        <v>56.31</v>
      </c>
      <c r="P126" s="58"/>
    </row>
    <row r="127" spans="1:16" x14ac:dyDescent="0.3">
      <c r="A127" s="19" t="s">
        <v>8</v>
      </c>
      <c r="B127" s="32">
        <v>39450</v>
      </c>
      <c r="C127" s="32">
        <v>39950</v>
      </c>
      <c r="D127" s="31">
        <v>31</v>
      </c>
      <c r="F127" s="82">
        <v>46240</v>
      </c>
      <c r="G127" s="33">
        <v>8194554</v>
      </c>
      <c r="H127" s="33">
        <v>8298414</v>
      </c>
      <c r="I127" s="33">
        <v>207.72</v>
      </c>
      <c r="P127" s="58"/>
    </row>
    <row r="128" spans="1:16" x14ac:dyDescent="0.3">
      <c r="A128" s="19" t="s">
        <v>8</v>
      </c>
      <c r="B128" s="32">
        <v>39450</v>
      </c>
      <c r="C128" s="32">
        <v>39950</v>
      </c>
      <c r="D128" s="31">
        <v>31</v>
      </c>
      <c r="F128" s="82">
        <v>46240</v>
      </c>
      <c r="G128" s="33">
        <v>3625060.5</v>
      </c>
      <c r="H128" s="33">
        <v>3671005.5</v>
      </c>
      <c r="I128" s="33">
        <v>91.89</v>
      </c>
      <c r="P128" s="58"/>
    </row>
    <row r="129" spans="1:16" x14ac:dyDescent="0.3">
      <c r="A129" s="19" t="s">
        <v>8</v>
      </c>
      <c r="B129" s="32">
        <v>39450</v>
      </c>
      <c r="C129" s="32">
        <v>39950</v>
      </c>
      <c r="D129" s="31">
        <v>31</v>
      </c>
      <c r="F129" s="82">
        <v>46240</v>
      </c>
      <c r="G129" s="33">
        <v>854092.5</v>
      </c>
      <c r="H129" s="33">
        <v>864917.5</v>
      </c>
      <c r="I129" s="33">
        <v>21.65</v>
      </c>
      <c r="P129" s="58"/>
    </row>
    <row r="130" spans="1:16" x14ac:dyDescent="0.3">
      <c r="A130" s="19" t="s">
        <v>11</v>
      </c>
      <c r="B130" s="32">
        <v>38100</v>
      </c>
      <c r="C130" s="32">
        <v>38350</v>
      </c>
      <c r="D130" s="31">
        <v>32</v>
      </c>
      <c r="E130" s="19" t="s">
        <v>37</v>
      </c>
      <c r="F130" s="82">
        <v>46240</v>
      </c>
      <c r="G130" s="33">
        <v>222885</v>
      </c>
      <c r="H130" s="33">
        <v>224347.5</v>
      </c>
      <c r="I130" s="33">
        <v>5.85</v>
      </c>
      <c r="P130" s="58"/>
    </row>
    <row r="131" spans="1:16" x14ac:dyDescent="0.3">
      <c r="A131" s="19" t="s">
        <v>11</v>
      </c>
      <c r="B131" s="32">
        <v>38100</v>
      </c>
      <c r="C131" s="32">
        <v>38350</v>
      </c>
      <c r="D131" s="31">
        <v>32</v>
      </c>
      <c r="F131" s="82">
        <v>46240</v>
      </c>
      <c r="G131" s="33">
        <v>730758</v>
      </c>
      <c r="H131" s="33">
        <v>735553</v>
      </c>
      <c r="I131" s="33">
        <v>19.18</v>
      </c>
      <c r="P131" s="58"/>
    </row>
    <row r="132" spans="1:16" x14ac:dyDescent="0.3">
      <c r="A132" s="19" t="s">
        <v>11</v>
      </c>
      <c r="B132" s="32">
        <v>38100</v>
      </c>
      <c r="C132" s="32">
        <v>38350</v>
      </c>
      <c r="D132" s="31">
        <v>32</v>
      </c>
      <c r="F132" s="82">
        <v>46240</v>
      </c>
      <c r="G132" s="33">
        <v>1146429</v>
      </c>
      <c r="H132" s="33">
        <v>1153951.5</v>
      </c>
      <c r="I132" s="33">
        <v>30.09</v>
      </c>
      <c r="P132" s="58"/>
    </row>
    <row r="133" spans="1:16" x14ac:dyDescent="0.3">
      <c r="A133" s="19" t="s">
        <v>11</v>
      </c>
      <c r="B133" s="32">
        <v>38100</v>
      </c>
      <c r="C133" s="32">
        <v>38350</v>
      </c>
      <c r="D133" s="31">
        <v>32</v>
      </c>
      <c r="F133" s="82">
        <v>46240</v>
      </c>
      <c r="G133" s="33">
        <v>153924</v>
      </c>
      <c r="H133" s="33">
        <v>154934</v>
      </c>
      <c r="I133" s="33">
        <v>4.04</v>
      </c>
      <c r="P133" s="58"/>
    </row>
    <row r="134" spans="1:16" x14ac:dyDescent="0.3">
      <c r="A134" s="19" t="s">
        <v>11</v>
      </c>
      <c r="B134" s="32">
        <v>37500</v>
      </c>
      <c r="C134" s="32">
        <v>37700</v>
      </c>
      <c r="D134" s="31">
        <v>33</v>
      </c>
      <c r="E134" s="19" t="s">
        <v>24</v>
      </c>
      <c r="F134" s="82">
        <v>46243</v>
      </c>
      <c r="G134" s="33">
        <v>1095750</v>
      </c>
      <c r="H134" s="33">
        <v>1101594</v>
      </c>
      <c r="I134" s="33">
        <v>29.22</v>
      </c>
      <c r="P134" s="58"/>
    </row>
    <row r="135" spans="1:16" x14ac:dyDescent="0.3">
      <c r="A135" s="19" t="s">
        <v>11</v>
      </c>
      <c r="B135" s="32">
        <v>37500</v>
      </c>
      <c r="C135" s="32">
        <v>37700</v>
      </c>
      <c r="D135" s="31">
        <v>33</v>
      </c>
      <c r="F135" s="82">
        <v>46243</v>
      </c>
      <c r="G135" s="33">
        <v>724874.99999999988</v>
      </c>
      <c r="H135" s="33">
        <v>728740.99999999988</v>
      </c>
      <c r="I135" s="33">
        <v>19.329999999999998</v>
      </c>
      <c r="P135" s="58"/>
    </row>
    <row r="136" spans="1:16" x14ac:dyDescent="0.3">
      <c r="A136" s="19" t="s">
        <v>11</v>
      </c>
      <c r="B136" s="32">
        <v>37500</v>
      </c>
      <c r="C136" s="32">
        <v>37700</v>
      </c>
      <c r="D136" s="31">
        <v>33</v>
      </c>
      <c r="F136" s="82">
        <v>46243</v>
      </c>
      <c r="G136" s="33">
        <v>746625</v>
      </c>
      <c r="H136" s="33">
        <v>750607</v>
      </c>
      <c r="I136" s="33">
        <v>19.91</v>
      </c>
      <c r="P136" s="58"/>
    </row>
    <row r="137" spans="1:16" x14ac:dyDescent="0.3">
      <c r="A137" s="19" t="s">
        <v>11</v>
      </c>
      <c r="B137" s="32">
        <v>37500</v>
      </c>
      <c r="C137" s="32">
        <v>37700</v>
      </c>
      <c r="D137" s="31">
        <v>33</v>
      </c>
      <c r="F137" s="82">
        <v>46243</v>
      </c>
      <c r="G137" s="33">
        <v>78750</v>
      </c>
      <c r="H137" s="33">
        <v>79170</v>
      </c>
      <c r="I137" s="33">
        <v>2.1</v>
      </c>
      <c r="P137" s="58"/>
    </row>
    <row r="138" spans="1:16" x14ac:dyDescent="0.3">
      <c r="A138" s="19" t="s">
        <v>11</v>
      </c>
      <c r="B138" s="32">
        <v>38250</v>
      </c>
      <c r="C138" s="32">
        <v>38650</v>
      </c>
      <c r="D138" s="31">
        <v>34</v>
      </c>
      <c r="E138" s="19" t="s">
        <v>37</v>
      </c>
      <c r="F138" s="82">
        <v>46243</v>
      </c>
      <c r="G138" s="33">
        <v>147645</v>
      </c>
      <c r="H138" s="33">
        <v>149189</v>
      </c>
      <c r="I138" s="33">
        <v>3.86</v>
      </c>
      <c r="P138" s="58"/>
    </row>
    <row r="139" spans="1:16" x14ac:dyDescent="0.3">
      <c r="A139" s="19" t="s">
        <v>11</v>
      </c>
      <c r="B139" s="32">
        <v>38250</v>
      </c>
      <c r="C139" s="32">
        <v>38650</v>
      </c>
      <c r="D139" s="31">
        <v>34</v>
      </c>
      <c r="F139" s="82">
        <v>46243</v>
      </c>
      <c r="G139" s="33">
        <v>148410</v>
      </c>
      <c r="H139" s="33">
        <v>149962</v>
      </c>
      <c r="I139" s="33">
        <v>3.88</v>
      </c>
      <c r="P139" s="58"/>
    </row>
    <row r="140" spans="1:16" x14ac:dyDescent="0.3">
      <c r="A140" s="19" t="s">
        <v>11</v>
      </c>
      <c r="B140" s="32">
        <v>38250</v>
      </c>
      <c r="C140" s="32">
        <v>38650</v>
      </c>
      <c r="D140" s="31">
        <v>34</v>
      </c>
      <c r="F140" s="82">
        <v>46243</v>
      </c>
      <c r="G140" s="33">
        <v>2174895</v>
      </c>
      <c r="H140" s="33">
        <v>2197639</v>
      </c>
      <c r="I140" s="33">
        <v>56.86</v>
      </c>
      <c r="P140" s="58"/>
    </row>
    <row r="141" spans="1:16" x14ac:dyDescent="0.3">
      <c r="A141" s="19" t="s">
        <v>13</v>
      </c>
      <c r="B141" s="32">
        <v>39450</v>
      </c>
      <c r="C141" s="32">
        <v>40100</v>
      </c>
      <c r="D141" s="31">
        <v>36</v>
      </c>
      <c r="E141" s="19" t="s">
        <v>36</v>
      </c>
      <c r="F141" s="82">
        <v>46245</v>
      </c>
      <c r="G141" s="33">
        <v>76927.5</v>
      </c>
      <c r="H141" s="33">
        <v>78195</v>
      </c>
      <c r="I141" s="33">
        <v>1.95</v>
      </c>
      <c r="P141" s="58"/>
    </row>
    <row r="142" spans="1:16" x14ac:dyDescent="0.3">
      <c r="A142" s="19" t="s">
        <v>13</v>
      </c>
      <c r="B142" s="32">
        <v>39450</v>
      </c>
      <c r="C142" s="32">
        <v>40100</v>
      </c>
      <c r="D142" s="31">
        <v>36</v>
      </c>
      <c r="F142" s="82">
        <v>46245</v>
      </c>
      <c r="G142" s="33">
        <v>847780.49999999988</v>
      </c>
      <c r="H142" s="33">
        <v>861748.99999999988</v>
      </c>
      <c r="I142" s="33">
        <v>21.49</v>
      </c>
      <c r="P142" s="58"/>
    </row>
    <row r="143" spans="1:16" x14ac:dyDescent="0.3">
      <c r="A143" s="19" t="s">
        <v>13</v>
      </c>
      <c r="B143" s="32">
        <v>39450</v>
      </c>
      <c r="C143" s="32">
        <v>40100</v>
      </c>
      <c r="D143" s="31">
        <v>36</v>
      </c>
      <c r="F143" s="82">
        <v>46245</v>
      </c>
      <c r="G143" s="33">
        <v>1082902.5</v>
      </c>
      <c r="H143" s="33">
        <v>1100745</v>
      </c>
      <c r="I143" s="33">
        <v>27.45</v>
      </c>
      <c r="P143" s="58"/>
    </row>
    <row r="144" spans="1:16" x14ac:dyDescent="0.3">
      <c r="A144" s="19" t="s">
        <v>13</v>
      </c>
      <c r="B144" s="32">
        <v>39450</v>
      </c>
      <c r="C144" s="32">
        <v>40100</v>
      </c>
      <c r="D144" s="31">
        <v>36</v>
      </c>
      <c r="F144" s="82">
        <v>46245</v>
      </c>
      <c r="G144" s="33">
        <v>2158704</v>
      </c>
      <c r="H144" s="33">
        <v>2194272</v>
      </c>
      <c r="I144" s="33">
        <v>54.72</v>
      </c>
      <c r="P144" s="58"/>
    </row>
    <row r="145" spans="1:16" x14ac:dyDescent="0.3">
      <c r="A145" s="19" t="s">
        <v>13</v>
      </c>
      <c r="B145" s="32">
        <v>39450</v>
      </c>
      <c r="C145" s="32">
        <v>40100</v>
      </c>
      <c r="D145" s="31">
        <v>36</v>
      </c>
      <c r="F145" s="82">
        <v>46245</v>
      </c>
      <c r="G145" s="33">
        <v>464326.5</v>
      </c>
      <c r="H145" s="33">
        <v>471977</v>
      </c>
      <c r="I145" s="33">
        <v>11.77</v>
      </c>
      <c r="P145" s="58"/>
    </row>
    <row r="146" spans="1:16" x14ac:dyDescent="0.3">
      <c r="A146" s="19" t="s">
        <v>13</v>
      </c>
      <c r="B146" s="32">
        <v>39450</v>
      </c>
      <c r="C146" s="32">
        <v>40100</v>
      </c>
      <c r="D146" s="31">
        <v>36</v>
      </c>
      <c r="F146" s="82">
        <v>46245</v>
      </c>
      <c r="G146" s="33">
        <v>459987</v>
      </c>
      <c r="H146" s="33">
        <v>467566</v>
      </c>
      <c r="I146" s="33">
        <v>11.66</v>
      </c>
      <c r="P146" s="58"/>
    </row>
    <row r="147" spans="1:16" x14ac:dyDescent="0.3">
      <c r="A147" s="19" t="s">
        <v>8</v>
      </c>
      <c r="B147" s="32">
        <v>39450</v>
      </c>
      <c r="C147" s="32">
        <v>39950</v>
      </c>
      <c r="D147" s="31">
        <v>37</v>
      </c>
      <c r="E147" s="19" t="s">
        <v>31</v>
      </c>
      <c r="F147" s="82">
        <v>46250</v>
      </c>
      <c r="G147" s="33">
        <v>4560814.5000000009</v>
      </c>
      <c r="H147" s="33">
        <v>4618619.5000000009</v>
      </c>
      <c r="I147" s="33">
        <v>115.61000000000001</v>
      </c>
      <c r="P147" s="58"/>
    </row>
    <row r="148" spans="1:16" x14ac:dyDescent="0.3">
      <c r="A148" s="19" t="s">
        <v>8</v>
      </c>
      <c r="B148" s="32">
        <v>39450</v>
      </c>
      <c r="C148" s="32">
        <v>39950</v>
      </c>
      <c r="D148" s="31">
        <v>37</v>
      </c>
      <c r="F148" s="82">
        <v>46250</v>
      </c>
      <c r="G148" s="33">
        <v>463932</v>
      </c>
      <c r="H148" s="33">
        <v>469812</v>
      </c>
      <c r="I148" s="33">
        <v>11.76</v>
      </c>
      <c r="P148" s="58"/>
    </row>
    <row r="149" spans="1:16" x14ac:dyDescent="0.3">
      <c r="A149" s="19" t="s">
        <v>8</v>
      </c>
      <c r="B149" s="32">
        <v>39450</v>
      </c>
      <c r="C149" s="32">
        <v>39950</v>
      </c>
      <c r="D149" s="31">
        <v>37</v>
      </c>
      <c r="F149" s="82">
        <v>46250</v>
      </c>
      <c r="G149" s="33">
        <v>926286</v>
      </c>
      <c r="H149" s="33">
        <v>938026</v>
      </c>
      <c r="I149" s="33">
        <v>23.48</v>
      </c>
      <c r="P149" s="58"/>
    </row>
    <row r="150" spans="1:16" x14ac:dyDescent="0.3">
      <c r="A150" s="19" t="s">
        <v>8</v>
      </c>
      <c r="B150" s="32">
        <v>39450</v>
      </c>
      <c r="C150" s="32">
        <v>39950</v>
      </c>
      <c r="D150" s="31">
        <v>37</v>
      </c>
      <c r="F150" s="82">
        <v>46250</v>
      </c>
      <c r="G150" s="33">
        <v>154249.5</v>
      </c>
      <c r="H150" s="33">
        <v>156204.5</v>
      </c>
      <c r="I150" s="33">
        <v>3.91</v>
      </c>
      <c r="P150" s="58"/>
    </row>
    <row r="151" spans="1:16" x14ac:dyDescent="0.3">
      <c r="A151" s="19" t="s">
        <v>8</v>
      </c>
      <c r="B151" s="32">
        <v>39450</v>
      </c>
      <c r="C151" s="32">
        <v>39950</v>
      </c>
      <c r="D151" s="31">
        <v>37</v>
      </c>
      <c r="F151" s="82">
        <v>46250</v>
      </c>
      <c r="G151" s="33">
        <v>817404</v>
      </c>
      <c r="H151" s="33">
        <v>827764</v>
      </c>
      <c r="I151" s="33">
        <v>20.72</v>
      </c>
      <c r="P151" s="58"/>
    </row>
    <row r="152" spans="1:16" x14ac:dyDescent="0.3">
      <c r="A152" s="19" t="s">
        <v>8</v>
      </c>
      <c r="B152" s="32">
        <v>39450</v>
      </c>
      <c r="C152" s="32">
        <v>39950</v>
      </c>
      <c r="D152" s="31">
        <v>37</v>
      </c>
      <c r="F152" s="82">
        <v>46250</v>
      </c>
      <c r="G152" s="33">
        <v>1844682</v>
      </c>
      <c r="H152" s="33">
        <v>1868062</v>
      </c>
      <c r="I152" s="33">
        <v>46.76</v>
      </c>
      <c r="P152" s="58"/>
    </row>
    <row r="153" spans="1:16" x14ac:dyDescent="0.3">
      <c r="A153" s="19" t="s">
        <v>11</v>
      </c>
      <c r="B153" s="32">
        <v>38000</v>
      </c>
      <c r="C153" s="32">
        <v>38050</v>
      </c>
      <c r="D153" s="31">
        <v>38</v>
      </c>
      <c r="E153" s="19" t="s">
        <v>24</v>
      </c>
      <c r="F153" s="82">
        <v>46250</v>
      </c>
      <c r="G153" s="33">
        <v>1857440</v>
      </c>
      <c r="H153" s="33">
        <v>1859884</v>
      </c>
      <c r="I153" s="33">
        <v>48.88</v>
      </c>
      <c r="P153" s="58"/>
    </row>
    <row r="154" spans="1:16" x14ac:dyDescent="0.3">
      <c r="A154" s="19" t="s">
        <v>38</v>
      </c>
      <c r="B154" s="32">
        <v>39500</v>
      </c>
      <c r="C154" s="32">
        <v>40500</v>
      </c>
      <c r="D154" s="31">
        <v>39</v>
      </c>
      <c r="E154" s="19" t="s">
        <v>36</v>
      </c>
      <c r="F154" s="82">
        <v>46250</v>
      </c>
      <c r="G154" s="33">
        <v>413565</v>
      </c>
      <c r="H154" s="33">
        <v>424035</v>
      </c>
      <c r="I154" s="33">
        <v>10.47</v>
      </c>
      <c r="P154" s="58"/>
    </row>
    <row r="155" spans="1:16" x14ac:dyDescent="0.3">
      <c r="A155" s="19" t="s">
        <v>38</v>
      </c>
      <c r="B155" s="32">
        <v>39500</v>
      </c>
      <c r="C155" s="32">
        <v>40500</v>
      </c>
      <c r="D155" s="31">
        <v>39</v>
      </c>
      <c r="F155" s="82">
        <v>46250</v>
      </c>
      <c r="G155" s="33">
        <v>154445</v>
      </c>
      <c r="H155" s="33">
        <v>158355</v>
      </c>
      <c r="I155" s="33">
        <v>3.91</v>
      </c>
      <c r="P155" s="58"/>
    </row>
    <row r="156" spans="1:16" x14ac:dyDescent="0.3">
      <c r="A156" s="19" t="s">
        <v>38</v>
      </c>
      <c r="B156" s="32">
        <v>39500</v>
      </c>
      <c r="C156" s="32">
        <v>40500</v>
      </c>
      <c r="D156" s="31">
        <v>39</v>
      </c>
      <c r="F156" s="82">
        <v>46250</v>
      </c>
      <c r="G156" s="33">
        <v>1399485</v>
      </c>
      <c r="H156" s="33">
        <v>1434915</v>
      </c>
      <c r="I156" s="33">
        <v>35.43</v>
      </c>
      <c r="P156" s="58"/>
    </row>
    <row r="157" spans="1:16" x14ac:dyDescent="0.3">
      <c r="A157" s="19" t="s">
        <v>11</v>
      </c>
      <c r="B157" s="32">
        <v>38450</v>
      </c>
      <c r="C157" s="32">
        <v>38800</v>
      </c>
      <c r="D157" s="31">
        <v>40</v>
      </c>
      <c r="E157" s="19" t="s">
        <v>39</v>
      </c>
      <c r="F157" s="82">
        <v>46251</v>
      </c>
      <c r="G157" s="33">
        <v>245311</v>
      </c>
      <c r="H157" s="33">
        <v>247544</v>
      </c>
      <c r="I157" s="33">
        <v>6.38</v>
      </c>
      <c r="P157" s="58"/>
    </row>
    <row r="158" spans="1:16" x14ac:dyDescent="0.3">
      <c r="A158" s="19" t="s">
        <v>11</v>
      </c>
      <c r="B158" s="32">
        <v>38450</v>
      </c>
      <c r="C158" s="32">
        <v>38800</v>
      </c>
      <c r="D158" s="31">
        <v>40</v>
      </c>
      <c r="F158" s="82">
        <v>46251</v>
      </c>
      <c r="G158" s="33">
        <v>1206176.5</v>
      </c>
      <c r="H158" s="33">
        <v>1217156</v>
      </c>
      <c r="I158" s="33">
        <v>31.37</v>
      </c>
      <c r="P158" s="58"/>
    </row>
    <row r="159" spans="1:16" x14ac:dyDescent="0.3">
      <c r="A159" s="19" t="s">
        <v>11</v>
      </c>
      <c r="B159" s="32">
        <v>38450</v>
      </c>
      <c r="C159" s="32">
        <v>38800</v>
      </c>
      <c r="D159" s="31">
        <v>40</v>
      </c>
      <c r="F159" s="82">
        <v>46251</v>
      </c>
      <c r="G159" s="33">
        <v>605587.5</v>
      </c>
      <c r="H159" s="33">
        <v>611100</v>
      </c>
      <c r="I159" s="33">
        <v>15.75</v>
      </c>
      <c r="P159" s="58"/>
    </row>
    <row r="160" spans="1:16" x14ac:dyDescent="0.3">
      <c r="A160" s="19" t="s">
        <v>13</v>
      </c>
      <c r="B160" s="32">
        <v>39500</v>
      </c>
      <c r="C160" s="32">
        <v>40600</v>
      </c>
      <c r="D160" s="31">
        <v>41</v>
      </c>
      <c r="E160" s="19" t="s">
        <v>36</v>
      </c>
      <c r="F160" s="82">
        <v>46251</v>
      </c>
      <c r="G160" s="33">
        <v>376829.99999999994</v>
      </c>
      <c r="H160" s="33">
        <v>387323.99999999994</v>
      </c>
      <c r="I160" s="33">
        <v>9.5399999999999991</v>
      </c>
      <c r="P160" s="58"/>
    </row>
    <row r="161" spans="1:16" x14ac:dyDescent="0.3">
      <c r="A161" s="19" t="s">
        <v>13</v>
      </c>
      <c r="B161" s="32">
        <v>39500</v>
      </c>
      <c r="C161" s="32">
        <v>40600</v>
      </c>
      <c r="D161" s="31">
        <v>41</v>
      </c>
      <c r="F161" s="82">
        <v>46251</v>
      </c>
      <c r="G161" s="33">
        <v>776175</v>
      </c>
      <c r="H161" s="33">
        <v>797790</v>
      </c>
      <c r="I161" s="33">
        <v>19.649999999999999</v>
      </c>
      <c r="P161" s="58"/>
    </row>
    <row r="162" spans="1:16" x14ac:dyDescent="0.3">
      <c r="A162" s="19" t="s">
        <v>13</v>
      </c>
      <c r="B162" s="32">
        <v>39500</v>
      </c>
      <c r="C162" s="32">
        <v>40600</v>
      </c>
      <c r="D162" s="31">
        <v>41</v>
      </c>
      <c r="F162" s="82">
        <v>46251</v>
      </c>
      <c r="G162" s="33">
        <v>2752755</v>
      </c>
      <c r="H162" s="33">
        <v>2829414</v>
      </c>
      <c r="I162" s="33">
        <v>69.69</v>
      </c>
      <c r="P162" s="58"/>
    </row>
    <row r="163" spans="1:16" x14ac:dyDescent="0.3">
      <c r="A163" s="19" t="s">
        <v>11</v>
      </c>
      <c r="B163" s="32">
        <v>38000</v>
      </c>
      <c r="C163" s="32">
        <v>38050</v>
      </c>
      <c r="D163" s="31">
        <v>42</v>
      </c>
      <c r="E163" s="19" t="s">
        <v>24</v>
      </c>
      <c r="F163" s="82">
        <v>46252</v>
      </c>
      <c r="G163" s="33">
        <v>2768680</v>
      </c>
      <c r="H163" s="33">
        <v>2772323</v>
      </c>
      <c r="I163" s="33">
        <v>72.86</v>
      </c>
      <c r="P163" s="58"/>
    </row>
    <row r="164" spans="1:16" x14ac:dyDescent="0.3">
      <c r="A164" s="19" t="s">
        <v>14</v>
      </c>
      <c r="B164" s="32">
        <v>39750</v>
      </c>
      <c r="C164" s="32">
        <v>40050</v>
      </c>
      <c r="D164" s="31">
        <v>43</v>
      </c>
      <c r="E164" s="19" t="s">
        <v>36</v>
      </c>
      <c r="F164" s="82">
        <v>46256</v>
      </c>
      <c r="G164" s="33">
        <v>469050</v>
      </c>
      <c r="H164" s="33">
        <v>472590</v>
      </c>
      <c r="I164" s="33">
        <v>11.8</v>
      </c>
      <c r="P164" s="58"/>
    </row>
    <row r="165" spans="1:16" x14ac:dyDescent="0.3">
      <c r="A165" s="19" t="s">
        <v>14</v>
      </c>
      <c r="B165" s="32">
        <v>39750</v>
      </c>
      <c r="C165" s="32">
        <v>40050</v>
      </c>
      <c r="D165" s="31">
        <v>43</v>
      </c>
      <c r="F165" s="82">
        <v>46256</v>
      </c>
      <c r="G165" s="33">
        <v>2672790</v>
      </c>
      <c r="H165" s="33">
        <v>2692962</v>
      </c>
      <c r="I165" s="33">
        <v>67.239999999999995</v>
      </c>
      <c r="P165" s="58"/>
    </row>
    <row r="166" spans="1:16" x14ac:dyDescent="0.3">
      <c r="A166" s="19" t="s">
        <v>14</v>
      </c>
      <c r="B166" s="32">
        <v>39750</v>
      </c>
      <c r="C166" s="32">
        <v>40050</v>
      </c>
      <c r="D166" s="31">
        <v>43</v>
      </c>
      <c r="F166" s="82">
        <v>46256</v>
      </c>
      <c r="G166" s="33">
        <v>2119350.75</v>
      </c>
      <c r="H166" s="33">
        <v>2135345.85</v>
      </c>
      <c r="I166" s="33">
        <v>53.317</v>
      </c>
      <c r="P166" s="58"/>
    </row>
    <row r="167" spans="1:16" x14ac:dyDescent="0.3">
      <c r="A167" s="19" t="s">
        <v>14</v>
      </c>
      <c r="B167" s="32">
        <v>39750</v>
      </c>
      <c r="C167" s="32">
        <v>40050</v>
      </c>
      <c r="D167" s="31">
        <v>43</v>
      </c>
      <c r="F167" s="82">
        <v>46256</v>
      </c>
      <c r="G167" s="33">
        <v>1985115</v>
      </c>
      <c r="H167" s="33">
        <v>2000097</v>
      </c>
      <c r="I167" s="33">
        <v>49.94</v>
      </c>
      <c r="P167" s="58"/>
    </row>
    <row r="168" spans="1:16" x14ac:dyDescent="0.3">
      <c r="A168" s="19" t="s">
        <v>14</v>
      </c>
      <c r="B168" s="32">
        <v>39750</v>
      </c>
      <c r="C168" s="32">
        <v>40050</v>
      </c>
      <c r="D168" s="31">
        <v>43</v>
      </c>
      <c r="F168" s="82">
        <v>46256</v>
      </c>
      <c r="G168" s="33">
        <v>4141274.2499999995</v>
      </c>
      <c r="H168" s="33">
        <v>4172529.15</v>
      </c>
      <c r="I168" s="33">
        <v>104.18299999999999</v>
      </c>
      <c r="P168" s="58"/>
    </row>
    <row r="169" spans="1:16" x14ac:dyDescent="0.3">
      <c r="A169" s="19" t="s">
        <v>14</v>
      </c>
      <c r="B169" s="32">
        <v>39750</v>
      </c>
      <c r="C169" s="32">
        <v>40050</v>
      </c>
      <c r="D169" s="31">
        <v>43</v>
      </c>
      <c r="F169" s="82">
        <v>46256</v>
      </c>
      <c r="G169" s="33">
        <v>6224850</v>
      </c>
      <c r="H169" s="33">
        <v>6271830</v>
      </c>
      <c r="I169" s="33">
        <v>156.6</v>
      </c>
      <c r="P169" s="58"/>
    </row>
    <row r="170" spans="1:16" x14ac:dyDescent="0.3">
      <c r="A170" s="19" t="s">
        <v>15</v>
      </c>
      <c r="B170" s="32">
        <v>40000</v>
      </c>
      <c r="C170" s="32">
        <v>41000</v>
      </c>
      <c r="D170" s="31">
        <v>44</v>
      </c>
      <c r="E170" s="19" t="s">
        <v>36</v>
      </c>
      <c r="F170" s="82">
        <v>46268</v>
      </c>
      <c r="G170" s="33">
        <v>449600</v>
      </c>
      <c r="H170" s="33">
        <v>460840</v>
      </c>
      <c r="I170" s="33">
        <v>11.24</v>
      </c>
      <c r="P170" s="58"/>
    </row>
    <row r="171" spans="1:16" x14ac:dyDescent="0.3">
      <c r="A171" s="19" t="s">
        <v>15</v>
      </c>
      <c r="B171" s="32">
        <v>40700</v>
      </c>
      <c r="C171" s="32">
        <v>41000</v>
      </c>
      <c r="D171" s="31">
        <v>44</v>
      </c>
      <c r="F171" s="82">
        <v>46268</v>
      </c>
      <c r="G171" s="33">
        <v>3983716</v>
      </c>
      <c r="H171" s="33">
        <v>4013080</v>
      </c>
      <c r="I171" s="33">
        <v>97.88</v>
      </c>
      <c r="P171" s="58"/>
    </row>
    <row r="172" spans="1:16" x14ac:dyDescent="0.3">
      <c r="A172" s="19" t="s">
        <v>15</v>
      </c>
      <c r="B172" s="32">
        <v>40000</v>
      </c>
      <c r="C172" s="32">
        <v>41000</v>
      </c>
      <c r="D172" s="31">
        <v>44</v>
      </c>
      <c r="F172" s="82">
        <v>46268</v>
      </c>
      <c r="G172" s="33">
        <v>2701600.0000000005</v>
      </c>
      <c r="H172" s="33">
        <v>2769140.0000000005</v>
      </c>
      <c r="I172" s="33">
        <v>67.540000000000006</v>
      </c>
      <c r="P172" s="58"/>
    </row>
    <row r="173" spans="1:16" x14ac:dyDescent="0.3">
      <c r="B173" s="32">
        <v>1394000</v>
      </c>
      <c r="D173" s="31" t="s">
        <v>111</v>
      </c>
      <c r="F173" s="82">
        <v>46268</v>
      </c>
      <c r="G173" s="33">
        <v>1394000</v>
      </c>
      <c r="H173" s="33">
        <v>0</v>
      </c>
      <c r="P173" s="58"/>
    </row>
    <row r="174" spans="1:16" x14ac:dyDescent="0.3">
      <c r="A174" s="19" t="s">
        <v>11</v>
      </c>
      <c r="B174" s="32">
        <v>38150</v>
      </c>
      <c r="C174" s="32">
        <v>38150</v>
      </c>
      <c r="D174" s="31">
        <v>45</v>
      </c>
      <c r="E174" s="19" t="s">
        <v>24</v>
      </c>
      <c r="F174" s="82">
        <v>46274</v>
      </c>
      <c r="G174" s="33">
        <v>296807</v>
      </c>
      <c r="H174" s="33">
        <v>296807</v>
      </c>
      <c r="I174" s="33">
        <v>7.78</v>
      </c>
      <c r="P174" s="58"/>
    </row>
    <row r="175" spans="1:16" x14ac:dyDescent="0.3">
      <c r="A175" s="19" t="s">
        <v>11</v>
      </c>
      <c r="B175" s="32">
        <v>38150</v>
      </c>
      <c r="C175" s="32">
        <v>38150</v>
      </c>
      <c r="D175" s="31">
        <v>45</v>
      </c>
      <c r="F175" s="82">
        <v>46274</v>
      </c>
      <c r="G175" s="33">
        <v>904536.5</v>
      </c>
      <c r="H175" s="33">
        <v>904536.5</v>
      </c>
      <c r="I175" s="33">
        <v>23.71</v>
      </c>
      <c r="P175" s="58"/>
    </row>
    <row r="176" spans="1:16" x14ac:dyDescent="0.3">
      <c r="A176" s="19" t="s">
        <v>11</v>
      </c>
      <c r="B176" s="32">
        <v>38150</v>
      </c>
      <c r="C176" s="32">
        <v>38150</v>
      </c>
      <c r="D176" s="31">
        <v>45</v>
      </c>
      <c r="F176" s="82">
        <v>46274</v>
      </c>
      <c r="G176" s="33">
        <v>743543.49999999988</v>
      </c>
      <c r="H176" s="33">
        <v>743543.49999999988</v>
      </c>
      <c r="I176" s="33">
        <v>19.489999999999998</v>
      </c>
      <c r="P176" s="58"/>
    </row>
    <row r="177" spans="1:16" x14ac:dyDescent="0.3">
      <c r="A177" s="19" t="s">
        <v>11</v>
      </c>
      <c r="B177" s="32">
        <v>38150</v>
      </c>
      <c r="C177" s="32">
        <v>38150</v>
      </c>
      <c r="D177" s="31">
        <v>45</v>
      </c>
      <c r="F177" s="82">
        <v>46274</v>
      </c>
      <c r="G177" s="33">
        <v>448644</v>
      </c>
      <c r="H177" s="33">
        <v>448644</v>
      </c>
      <c r="I177" s="33">
        <v>11.76</v>
      </c>
      <c r="P177" s="58"/>
    </row>
    <row r="178" spans="1:16" x14ac:dyDescent="0.3">
      <c r="A178" s="19" t="s">
        <v>8</v>
      </c>
      <c r="B178" s="32">
        <v>39000</v>
      </c>
      <c r="C178" s="32">
        <v>39600</v>
      </c>
      <c r="D178" s="31">
        <v>46</v>
      </c>
      <c r="E178" s="19" t="s">
        <v>31</v>
      </c>
      <c r="F178" s="82">
        <v>46281</v>
      </c>
      <c r="G178" s="33">
        <v>5037629.9999999991</v>
      </c>
      <c r="H178" s="33">
        <v>5115131.9999999991</v>
      </c>
      <c r="I178" s="33">
        <v>129.16999999999999</v>
      </c>
      <c r="P178" s="58"/>
    </row>
    <row r="179" spans="1:16" x14ac:dyDescent="0.3">
      <c r="A179" s="19" t="s">
        <v>8</v>
      </c>
      <c r="B179" s="32">
        <v>39000</v>
      </c>
      <c r="C179" s="32">
        <v>39600</v>
      </c>
      <c r="D179" s="31">
        <v>46</v>
      </c>
      <c r="F179" s="82">
        <v>46281</v>
      </c>
      <c r="G179" s="33">
        <v>306540</v>
      </c>
      <c r="H179" s="33">
        <v>311256</v>
      </c>
      <c r="I179" s="33">
        <v>7.86</v>
      </c>
      <c r="P179" s="58"/>
    </row>
    <row r="180" spans="1:16" x14ac:dyDescent="0.3">
      <c r="A180" s="19" t="s">
        <v>8</v>
      </c>
      <c r="B180" s="32">
        <v>39000</v>
      </c>
      <c r="C180" s="32">
        <v>39600</v>
      </c>
      <c r="D180" s="31">
        <v>46</v>
      </c>
      <c r="F180" s="82">
        <v>46281</v>
      </c>
      <c r="G180" s="33">
        <v>3288870</v>
      </c>
      <c r="H180" s="33">
        <v>3339468</v>
      </c>
      <c r="I180" s="33">
        <v>84.33</v>
      </c>
      <c r="P180" s="58"/>
    </row>
    <row r="181" spans="1:16" x14ac:dyDescent="0.3">
      <c r="A181" s="19" t="s">
        <v>8</v>
      </c>
      <c r="B181" s="32">
        <v>39000</v>
      </c>
      <c r="C181" s="32">
        <v>39600</v>
      </c>
      <c r="D181" s="31">
        <v>46</v>
      </c>
      <c r="F181" s="82">
        <v>46281</v>
      </c>
      <c r="G181" s="33">
        <v>229710</v>
      </c>
      <c r="H181" s="33">
        <v>233244</v>
      </c>
      <c r="I181" s="33">
        <v>5.89</v>
      </c>
      <c r="P181" s="58"/>
    </row>
    <row r="182" spans="1:16" x14ac:dyDescent="0.3">
      <c r="A182" s="19" t="s">
        <v>8</v>
      </c>
      <c r="B182" s="32">
        <v>39000</v>
      </c>
      <c r="C182" s="32">
        <v>39600</v>
      </c>
      <c r="D182" s="31">
        <v>46</v>
      </c>
      <c r="F182" s="82">
        <v>46281</v>
      </c>
      <c r="G182" s="33">
        <v>539370</v>
      </c>
      <c r="H182" s="33">
        <v>547668</v>
      </c>
      <c r="I182" s="33">
        <v>13.83</v>
      </c>
      <c r="P182" s="58"/>
    </row>
    <row r="183" spans="1:16" x14ac:dyDescent="0.3">
      <c r="A183" s="19" t="s">
        <v>8</v>
      </c>
      <c r="B183" s="32">
        <v>39000</v>
      </c>
      <c r="C183" s="32">
        <v>39600</v>
      </c>
      <c r="D183" s="31">
        <v>46</v>
      </c>
      <c r="F183" s="82">
        <v>46281</v>
      </c>
      <c r="G183" s="33">
        <v>381420</v>
      </c>
      <c r="H183" s="33">
        <v>387288</v>
      </c>
      <c r="I183" s="33">
        <v>9.7799999999999994</v>
      </c>
      <c r="P183" s="58"/>
    </row>
    <row r="184" spans="1:16" x14ac:dyDescent="0.3">
      <c r="A184" s="19" t="s">
        <v>11</v>
      </c>
      <c r="B184" s="32">
        <v>38600</v>
      </c>
      <c r="C184" s="32">
        <v>38800</v>
      </c>
      <c r="D184" s="31">
        <v>47</v>
      </c>
      <c r="E184" s="19" t="s">
        <v>112</v>
      </c>
      <c r="F184" s="82">
        <v>46284</v>
      </c>
      <c r="G184" s="33">
        <v>2483910</v>
      </c>
      <c r="H184" s="33">
        <v>2496780</v>
      </c>
      <c r="I184" s="33">
        <v>64.349999999999994</v>
      </c>
      <c r="P184" s="58"/>
    </row>
    <row r="185" spans="1:16" x14ac:dyDescent="0.3">
      <c r="A185" s="19" t="s">
        <v>11</v>
      </c>
      <c r="B185" s="32">
        <v>38600</v>
      </c>
      <c r="C185" s="32">
        <v>38800</v>
      </c>
      <c r="D185" s="31">
        <v>47</v>
      </c>
      <c r="F185" s="82">
        <v>46284</v>
      </c>
      <c r="G185" s="33">
        <v>489834</v>
      </c>
      <c r="H185" s="33">
        <v>492372</v>
      </c>
      <c r="I185" s="33">
        <v>12.69</v>
      </c>
      <c r="P185" s="58"/>
    </row>
    <row r="186" spans="1:16" x14ac:dyDescent="0.3">
      <c r="A186" s="19" t="s">
        <v>11</v>
      </c>
      <c r="B186" s="32">
        <v>38600</v>
      </c>
      <c r="C186" s="32">
        <v>38800</v>
      </c>
      <c r="D186" s="31">
        <v>47</v>
      </c>
      <c r="F186" s="82">
        <v>46284</v>
      </c>
      <c r="G186" s="33">
        <v>601002</v>
      </c>
      <c r="H186" s="33">
        <v>604116</v>
      </c>
      <c r="I186" s="33">
        <v>15.57</v>
      </c>
      <c r="P186" s="58"/>
    </row>
    <row r="187" spans="1:16" x14ac:dyDescent="0.3">
      <c r="A187" s="19" t="s">
        <v>11</v>
      </c>
      <c r="B187" s="32">
        <v>38600</v>
      </c>
      <c r="C187" s="32">
        <v>38800</v>
      </c>
      <c r="D187" s="31">
        <v>47</v>
      </c>
      <c r="F187" s="82">
        <v>46284</v>
      </c>
      <c r="G187" s="33">
        <v>979282</v>
      </c>
      <c r="H187" s="33">
        <v>984356</v>
      </c>
      <c r="I187" s="33">
        <v>25.37</v>
      </c>
      <c r="P187" s="58"/>
    </row>
    <row r="188" spans="1:16" x14ac:dyDescent="0.3">
      <c r="A188" s="19" t="s">
        <v>11</v>
      </c>
      <c r="B188" s="32">
        <v>38100</v>
      </c>
      <c r="C188" s="32">
        <v>38150</v>
      </c>
      <c r="D188" s="31">
        <v>48</v>
      </c>
      <c r="E188" s="19" t="s">
        <v>24</v>
      </c>
      <c r="F188" s="82">
        <v>46284</v>
      </c>
      <c r="G188" s="33">
        <v>244602</v>
      </c>
      <c r="H188" s="33">
        <v>244923</v>
      </c>
      <c r="I188" s="33">
        <v>6.42</v>
      </c>
      <c r="P188" s="58"/>
    </row>
    <row r="189" spans="1:16" x14ac:dyDescent="0.3">
      <c r="A189" s="19" t="s">
        <v>11</v>
      </c>
      <c r="B189" s="32">
        <v>38100</v>
      </c>
      <c r="C189" s="32">
        <v>38150</v>
      </c>
      <c r="D189" s="31">
        <v>48</v>
      </c>
      <c r="F189" s="82">
        <v>46284</v>
      </c>
      <c r="G189" s="33">
        <v>231267</v>
      </c>
      <c r="H189" s="33">
        <v>231570.5</v>
      </c>
      <c r="I189" s="33">
        <v>6.07</v>
      </c>
      <c r="P189" s="58"/>
    </row>
    <row r="190" spans="1:16" x14ac:dyDescent="0.3">
      <c r="A190" s="19" t="s">
        <v>11</v>
      </c>
      <c r="B190" s="32">
        <v>38100</v>
      </c>
      <c r="C190" s="32">
        <v>38150</v>
      </c>
      <c r="D190" s="31">
        <v>48</v>
      </c>
      <c r="F190" s="82">
        <v>46284</v>
      </c>
      <c r="G190" s="33">
        <v>373380</v>
      </c>
      <c r="H190" s="33">
        <v>373870</v>
      </c>
      <c r="I190" s="33">
        <v>9.8000000000000007</v>
      </c>
      <c r="P190" s="58"/>
    </row>
    <row r="191" spans="1:16" x14ac:dyDescent="0.3">
      <c r="A191" s="19" t="s">
        <v>11</v>
      </c>
      <c r="B191" s="32">
        <v>38100</v>
      </c>
      <c r="C191" s="32">
        <v>38150</v>
      </c>
      <c r="D191" s="31">
        <v>48</v>
      </c>
      <c r="F191" s="82">
        <v>46284</v>
      </c>
      <c r="G191" s="33">
        <v>823722</v>
      </c>
      <c r="H191" s="33">
        <v>824803</v>
      </c>
      <c r="I191" s="33">
        <v>21.62</v>
      </c>
      <c r="P191" s="58"/>
    </row>
    <row r="192" spans="1:16" x14ac:dyDescent="0.3">
      <c r="A192" s="19" t="s">
        <v>11</v>
      </c>
      <c r="B192" s="32">
        <v>38100</v>
      </c>
      <c r="C192" s="32">
        <v>38150</v>
      </c>
      <c r="D192" s="31">
        <v>48</v>
      </c>
      <c r="F192" s="82">
        <v>46284</v>
      </c>
      <c r="G192" s="33">
        <v>150495</v>
      </c>
      <c r="H192" s="33">
        <v>150692.5</v>
      </c>
      <c r="I192" s="33">
        <v>3.95</v>
      </c>
      <c r="P192" s="58"/>
    </row>
    <row r="193" spans="1:16" x14ac:dyDescent="0.3">
      <c r="A193" s="19" t="s">
        <v>38</v>
      </c>
      <c r="B193" s="32">
        <v>39500</v>
      </c>
      <c r="C193" s="32">
        <v>41500</v>
      </c>
      <c r="D193" s="31">
        <v>49</v>
      </c>
      <c r="E193" s="19" t="s">
        <v>113</v>
      </c>
      <c r="F193" s="82">
        <v>46286</v>
      </c>
      <c r="G193" s="33">
        <v>125610</v>
      </c>
      <c r="H193" s="33">
        <v>131970</v>
      </c>
      <c r="I193" s="33">
        <v>3.18</v>
      </c>
      <c r="P193" s="58"/>
    </row>
    <row r="194" spans="1:16" x14ac:dyDescent="0.3">
      <c r="A194" s="19" t="s">
        <v>38</v>
      </c>
      <c r="B194" s="32">
        <v>39500</v>
      </c>
      <c r="C194" s="32">
        <v>41500</v>
      </c>
      <c r="D194" s="31">
        <v>49</v>
      </c>
      <c r="F194" s="82">
        <v>46286</v>
      </c>
      <c r="G194" s="33">
        <v>926670</v>
      </c>
      <c r="H194" s="33">
        <v>973590</v>
      </c>
      <c r="I194" s="33">
        <v>23.46</v>
      </c>
      <c r="P194" s="58"/>
    </row>
    <row r="195" spans="1:16" x14ac:dyDescent="0.3">
      <c r="A195" s="19" t="s">
        <v>38</v>
      </c>
      <c r="B195" s="32">
        <v>39500</v>
      </c>
      <c r="C195" s="32">
        <v>41500</v>
      </c>
      <c r="D195" s="31">
        <v>49</v>
      </c>
      <c r="F195" s="82">
        <v>46286</v>
      </c>
      <c r="G195" s="33">
        <v>154445</v>
      </c>
      <c r="H195" s="33">
        <v>162265</v>
      </c>
      <c r="I195" s="33">
        <v>3.91</v>
      </c>
      <c r="P195" s="58"/>
    </row>
    <row r="196" spans="1:16" x14ac:dyDescent="0.3">
      <c r="A196" s="19" t="s">
        <v>38</v>
      </c>
      <c r="B196" s="32">
        <v>39500</v>
      </c>
      <c r="C196" s="32">
        <v>41500</v>
      </c>
      <c r="D196" s="31">
        <v>49</v>
      </c>
      <c r="F196" s="82">
        <v>46286</v>
      </c>
      <c r="G196" s="33">
        <v>623705</v>
      </c>
      <c r="H196" s="33">
        <v>655285</v>
      </c>
      <c r="I196" s="33">
        <v>15.79</v>
      </c>
      <c r="P196" s="58"/>
    </row>
    <row r="197" spans="1:16" x14ac:dyDescent="0.3">
      <c r="A197" s="19" t="s">
        <v>11</v>
      </c>
      <c r="B197" s="32">
        <v>38100</v>
      </c>
      <c r="C197" s="32">
        <v>38150</v>
      </c>
      <c r="D197" s="31">
        <v>50</v>
      </c>
      <c r="E197" s="19" t="s">
        <v>24</v>
      </c>
      <c r="F197" s="82">
        <v>46288</v>
      </c>
      <c r="G197" s="33">
        <v>1203579</v>
      </c>
      <c r="H197" s="33">
        <v>1205158.5</v>
      </c>
      <c r="I197" s="33">
        <v>31.59</v>
      </c>
      <c r="P197" s="58"/>
    </row>
    <row r="198" spans="1:16" x14ac:dyDescent="0.3">
      <c r="A198" s="19" t="s">
        <v>11</v>
      </c>
      <c r="B198" s="32">
        <v>38100</v>
      </c>
      <c r="C198" s="32">
        <v>38150</v>
      </c>
      <c r="D198" s="31">
        <v>50</v>
      </c>
      <c r="F198" s="82">
        <v>46288</v>
      </c>
      <c r="G198" s="33">
        <v>968883</v>
      </c>
      <c r="H198" s="33">
        <v>970154.5</v>
      </c>
      <c r="I198" s="33">
        <v>25.43</v>
      </c>
      <c r="P198" s="58"/>
    </row>
    <row r="199" spans="1:16" x14ac:dyDescent="0.3">
      <c r="A199" s="19" t="s">
        <v>11</v>
      </c>
      <c r="B199" s="32">
        <v>38100</v>
      </c>
      <c r="C199" s="32">
        <v>38150</v>
      </c>
      <c r="D199" s="31">
        <v>50</v>
      </c>
      <c r="F199" s="82">
        <v>46288</v>
      </c>
      <c r="G199" s="33">
        <v>1514094</v>
      </c>
      <c r="H199" s="33">
        <v>1516081</v>
      </c>
      <c r="I199" s="33">
        <v>39.74</v>
      </c>
      <c r="P199" s="58"/>
    </row>
    <row r="200" spans="1:16" x14ac:dyDescent="0.3">
      <c r="A200" s="19" t="s">
        <v>11</v>
      </c>
      <c r="B200" s="32">
        <v>38100</v>
      </c>
      <c r="C200" s="32">
        <v>38150</v>
      </c>
      <c r="D200" s="31">
        <v>50</v>
      </c>
      <c r="F200" s="82">
        <v>46288</v>
      </c>
      <c r="G200" s="33">
        <v>75438</v>
      </c>
      <c r="H200" s="33">
        <v>75537</v>
      </c>
      <c r="I200" s="33">
        <v>1.98</v>
      </c>
      <c r="P200" s="58"/>
    </row>
    <row r="201" spans="1:16" x14ac:dyDescent="0.3">
      <c r="A201" s="19" t="s">
        <v>11</v>
      </c>
      <c r="B201" s="32">
        <v>38100</v>
      </c>
      <c r="C201" s="32">
        <v>38150</v>
      </c>
      <c r="D201" s="31">
        <v>50</v>
      </c>
      <c r="F201" s="82">
        <v>46288</v>
      </c>
      <c r="G201" s="33">
        <v>148590</v>
      </c>
      <c r="H201" s="33">
        <v>148785</v>
      </c>
      <c r="I201" s="33">
        <v>3.9</v>
      </c>
      <c r="P201" s="58"/>
    </row>
    <row r="202" spans="1:16" x14ac:dyDescent="0.3">
      <c r="A202" s="19" t="s">
        <v>11</v>
      </c>
      <c r="B202" s="32">
        <v>39500</v>
      </c>
      <c r="C202" s="32">
        <v>41300</v>
      </c>
      <c r="D202" s="31">
        <v>51</v>
      </c>
      <c r="E202" s="19" t="s">
        <v>114</v>
      </c>
      <c r="F202" s="82">
        <v>46292</v>
      </c>
      <c r="G202" s="33">
        <v>567615</v>
      </c>
      <c r="H202" s="33">
        <v>593481</v>
      </c>
      <c r="I202" s="33">
        <v>14.37</v>
      </c>
      <c r="P202" s="58"/>
    </row>
    <row r="203" spans="1:16" x14ac:dyDescent="0.3">
      <c r="A203" s="19" t="s">
        <v>11</v>
      </c>
      <c r="B203" s="32">
        <v>39500</v>
      </c>
      <c r="C203" s="32">
        <v>41300</v>
      </c>
      <c r="D203" s="31">
        <v>51</v>
      </c>
      <c r="F203" s="82">
        <v>46292</v>
      </c>
      <c r="G203" s="33">
        <v>386704.99999999994</v>
      </c>
      <c r="H203" s="33">
        <v>404326.99999999994</v>
      </c>
      <c r="I203" s="33">
        <v>9.7899999999999991</v>
      </c>
      <c r="P203" s="58"/>
    </row>
    <row r="204" spans="1:16" x14ac:dyDescent="0.3">
      <c r="A204" s="19" t="s">
        <v>11</v>
      </c>
      <c r="B204" s="32">
        <v>39500</v>
      </c>
      <c r="C204" s="32">
        <v>41300</v>
      </c>
      <c r="D204" s="31">
        <v>51</v>
      </c>
      <c r="F204" s="82">
        <v>46292</v>
      </c>
      <c r="G204" s="33">
        <v>1008435</v>
      </c>
      <c r="H204" s="33">
        <v>1054389</v>
      </c>
      <c r="I204" s="33">
        <v>25.53</v>
      </c>
      <c r="P204" s="58"/>
    </row>
    <row r="205" spans="1:16" x14ac:dyDescent="0.3">
      <c r="A205" s="19" t="s">
        <v>11</v>
      </c>
      <c r="B205" s="32">
        <v>39500</v>
      </c>
      <c r="C205" s="32">
        <v>41300</v>
      </c>
      <c r="D205" s="31">
        <v>51</v>
      </c>
      <c r="F205" s="82">
        <v>46292</v>
      </c>
      <c r="G205" s="33">
        <v>68730</v>
      </c>
      <c r="H205" s="33">
        <v>71862</v>
      </c>
      <c r="I205" s="33">
        <v>1.74</v>
      </c>
      <c r="P205" s="58"/>
    </row>
    <row r="206" spans="1:16" x14ac:dyDescent="0.3">
      <c r="A206" s="19" t="s">
        <v>11</v>
      </c>
      <c r="B206" s="32">
        <v>39500</v>
      </c>
      <c r="C206" s="32">
        <v>41300</v>
      </c>
      <c r="D206" s="31">
        <v>51</v>
      </c>
      <c r="F206" s="82">
        <v>46292</v>
      </c>
      <c r="G206" s="33">
        <v>234037.5</v>
      </c>
      <c r="H206" s="33">
        <v>244702.5</v>
      </c>
      <c r="I206" s="33">
        <v>5.9249999999999998</v>
      </c>
      <c r="P206" s="58"/>
    </row>
    <row r="207" spans="1:16" x14ac:dyDescent="0.3">
      <c r="A207" s="19" t="s">
        <v>11</v>
      </c>
      <c r="B207" s="32">
        <v>39500</v>
      </c>
      <c r="C207" s="32">
        <v>41300</v>
      </c>
      <c r="D207" s="31">
        <v>51</v>
      </c>
      <c r="F207" s="82">
        <v>46292</v>
      </c>
      <c r="G207" s="33">
        <v>232457.5</v>
      </c>
      <c r="H207" s="33">
        <v>243050.5</v>
      </c>
      <c r="I207" s="33">
        <v>5.8849999999999998</v>
      </c>
      <c r="P207" s="58"/>
    </row>
    <row r="208" spans="1:16" x14ac:dyDescent="0.3">
      <c r="A208" s="19" t="s">
        <v>11</v>
      </c>
      <c r="B208" s="32">
        <v>39500</v>
      </c>
      <c r="C208" s="32">
        <v>41300</v>
      </c>
      <c r="D208" s="31">
        <v>51</v>
      </c>
      <c r="F208" s="82">
        <v>46292</v>
      </c>
      <c r="G208" s="33">
        <v>855175</v>
      </c>
      <c r="H208" s="33">
        <v>894144.99999999988</v>
      </c>
      <c r="I208" s="33">
        <v>21.65</v>
      </c>
      <c r="P208" s="58"/>
    </row>
    <row r="209" spans="1:16" x14ac:dyDescent="0.3">
      <c r="A209" s="19" t="s">
        <v>11</v>
      </c>
      <c r="B209" s="32">
        <v>39500</v>
      </c>
      <c r="C209" s="32">
        <v>41300</v>
      </c>
      <c r="D209" s="31">
        <v>51</v>
      </c>
      <c r="F209" s="82">
        <v>46292</v>
      </c>
      <c r="G209" s="33">
        <v>1023445</v>
      </c>
      <c r="H209" s="33">
        <v>1070083</v>
      </c>
      <c r="I209" s="33">
        <v>25.91</v>
      </c>
      <c r="P209" s="58"/>
    </row>
    <row r="210" spans="1:16" x14ac:dyDescent="0.3">
      <c r="A210" s="19" t="s">
        <v>99</v>
      </c>
      <c r="B210" s="32">
        <v>38000</v>
      </c>
      <c r="C210" s="32">
        <v>40000</v>
      </c>
      <c r="D210" s="31">
        <v>52</v>
      </c>
      <c r="E210" s="19" t="s">
        <v>115</v>
      </c>
      <c r="F210" s="82">
        <v>46297</v>
      </c>
      <c r="G210" s="33">
        <v>639920</v>
      </c>
      <c r="H210" s="33">
        <v>673600</v>
      </c>
      <c r="I210" s="33">
        <v>16.84</v>
      </c>
      <c r="P210" s="58"/>
    </row>
    <row r="211" spans="1:16" x14ac:dyDescent="0.3">
      <c r="A211" s="19" t="s">
        <v>99</v>
      </c>
      <c r="B211" s="32">
        <v>38000</v>
      </c>
      <c r="C211" s="32">
        <v>40000</v>
      </c>
      <c r="D211" s="31">
        <v>52</v>
      </c>
      <c r="F211" s="82">
        <v>46297</v>
      </c>
      <c r="G211" s="33">
        <v>4018120.0000000005</v>
      </c>
      <c r="H211" s="33">
        <v>4229600</v>
      </c>
      <c r="I211" s="33">
        <v>105.74000000000001</v>
      </c>
      <c r="P211" s="58"/>
    </row>
    <row r="212" spans="1:16" x14ac:dyDescent="0.3">
      <c r="A212" s="19" t="s">
        <v>99</v>
      </c>
      <c r="B212" s="32">
        <v>38000</v>
      </c>
      <c r="C212" s="32">
        <v>40000</v>
      </c>
      <c r="D212" s="31">
        <v>52</v>
      </c>
      <c r="F212" s="82">
        <v>46297</v>
      </c>
      <c r="G212" s="33">
        <v>168720.00000000003</v>
      </c>
      <c r="H212" s="33">
        <v>177600.00000000003</v>
      </c>
      <c r="I212" s="33">
        <v>4.4400000000000004</v>
      </c>
      <c r="P212" s="58"/>
    </row>
    <row r="213" spans="1:16" x14ac:dyDescent="0.3">
      <c r="A213" s="19" t="s">
        <v>99</v>
      </c>
      <c r="B213" s="32">
        <v>38000</v>
      </c>
      <c r="C213" s="32">
        <v>40000</v>
      </c>
      <c r="D213" s="31">
        <v>52</v>
      </c>
      <c r="F213" s="82">
        <v>46297</v>
      </c>
      <c r="G213" s="33">
        <v>288800</v>
      </c>
      <c r="H213" s="33">
        <v>304000</v>
      </c>
      <c r="I213" s="33">
        <v>7.6</v>
      </c>
      <c r="P213" s="58"/>
    </row>
    <row r="214" spans="1:16" x14ac:dyDescent="0.3">
      <c r="A214" s="19" t="s">
        <v>11</v>
      </c>
      <c r="B214" s="32">
        <v>41150</v>
      </c>
      <c r="C214" s="32">
        <v>41500</v>
      </c>
      <c r="D214" s="31">
        <v>53</v>
      </c>
      <c r="E214" s="19" t="s">
        <v>116</v>
      </c>
      <c r="F214" s="82">
        <v>46303</v>
      </c>
      <c r="G214" s="33">
        <v>79831</v>
      </c>
      <c r="H214" s="33">
        <v>80510</v>
      </c>
      <c r="I214" s="33">
        <v>1.94</v>
      </c>
      <c r="P214" s="58"/>
    </row>
    <row r="215" spans="1:16" x14ac:dyDescent="0.3">
      <c r="A215" s="19" t="s">
        <v>11</v>
      </c>
      <c r="B215" s="32">
        <v>41150</v>
      </c>
      <c r="C215" s="32">
        <v>41500</v>
      </c>
      <c r="D215" s="31">
        <v>53</v>
      </c>
      <c r="F215" s="82">
        <v>46303</v>
      </c>
      <c r="G215" s="33">
        <v>79831</v>
      </c>
      <c r="H215" s="33">
        <v>80510</v>
      </c>
      <c r="I215" s="33">
        <v>1.94</v>
      </c>
      <c r="P215" s="58"/>
    </row>
    <row r="216" spans="1:16" x14ac:dyDescent="0.3">
      <c r="A216" s="19" t="s">
        <v>11</v>
      </c>
      <c r="B216" s="32">
        <v>41150</v>
      </c>
      <c r="C216" s="32">
        <v>41500</v>
      </c>
      <c r="D216" s="31">
        <v>53</v>
      </c>
      <c r="F216" s="82">
        <v>46303</v>
      </c>
      <c r="G216" s="33">
        <v>242785.00000000003</v>
      </c>
      <c r="H216" s="33">
        <v>244850.00000000003</v>
      </c>
      <c r="I216" s="33">
        <v>5.9</v>
      </c>
      <c r="P216" s="58"/>
    </row>
    <row r="217" spans="1:16" x14ac:dyDescent="0.3">
      <c r="A217" s="19" t="s">
        <v>11</v>
      </c>
      <c r="B217" s="32">
        <v>41150</v>
      </c>
      <c r="C217" s="32">
        <v>41500</v>
      </c>
      <c r="D217" s="31">
        <v>53</v>
      </c>
      <c r="F217" s="82">
        <v>46303</v>
      </c>
      <c r="G217" s="33">
        <v>783496</v>
      </c>
      <c r="H217" s="33">
        <v>790160</v>
      </c>
      <c r="I217" s="33">
        <v>19.04</v>
      </c>
      <c r="P217" s="58"/>
    </row>
    <row r="218" spans="1:16" x14ac:dyDescent="0.3">
      <c r="A218" s="19" t="s">
        <v>11</v>
      </c>
      <c r="B218" s="32">
        <v>41150</v>
      </c>
      <c r="C218" s="32">
        <v>41500</v>
      </c>
      <c r="D218" s="31">
        <v>53</v>
      </c>
      <c r="F218" s="82">
        <v>46303</v>
      </c>
      <c r="G218" s="33">
        <v>798309.99999999988</v>
      </c>
      <c r="H218" s="33">
        <v>805099.99999999988</v>
      </c>
      <c r="I218" s="33">
        <v>19.399999999999999</v>
      </c>
      <c r="P218" s="58"/>
    </row>
    <row r="219" spans="1:16" x14ac:dyDescent="0.3">
      <c r="A219" s="19" t="s">
        <v>11</v>
      </c>
      <c r="B219" s="32">
        <v>41150</v>
      </c>
      <c r="C219" s="32">
        <v>41500</v>
      </c>
      <c r="D219" s="31">
        <v>53</v>
      </c>
      <c r="F219" s="82">
        <v>46303</v>
      </c>
      <c r="G219" s="33">
        <v>2043509.0000000002</v>
      </c>
      <c r="H219" s="33">
        <v>2060890.0000000002</v>
      </c>
      <c r="I219" s="33">
        <v>49.660000000000004</v>
      </c>
      <c r="P219" s="58"/>
    </row>
    <row r="220" spans="1:16" x14ac:dyDescent="0.3">
      <c r="A220" s="19" t="s">
        <v>11</v>
      </c>
      <c r="B220" s="32">
        <v>39500</v>
      </c>
      <c r="C220" s="32">
        <v>39650</v>
      </c>
      <c r="D220" s="31">
        <v>54</v>
      </c>
      <c r="E220" s="19" t="s">
        <v>116</v>
      </c>
      <c r="F220" s="82">
        <v>46303</v>
      </c>
      <c r="G220" s="33">
        <v>1166040</v>
      </c>
      <c r="H220" s="33">
        <v>1170468</v>
      </c>
      <c r="I220" s="33">
        <v>29.52</v>
      </c>
      <c r="P220" s="58"/>
    </row>
    <row r="221" spans="1:16" x14ac:dyDescent="0.3">
      <c r="A221" s="19" t="s">
        <v>99</v>
      </c>
      <c r="B221" s="32">
        <v>39900</v>
      </c>
      <c r="C221" s="32">
        <v>41000</v>
      </c>
      <c r="D221" s="31">
        <v>55</v>
      </c>
      <c r="E221" s="19" t="s">
        <v>115</v>
      </c>
      <c r="F221" s="82">
        <v>46301</v>
      </c>
      <c r="G221" s="33">
        <v>183540</v>
      </c>
      <c r="H221" s="33">
        <v>188599.99999999997</v>
      </c>
      <c r="I221" s="33">
        <v>4.5999999999999996</v>
      </c>
      <c r="P221" s="58"/>
    </row>
    <row r="222" spans="1:16" x14ac:dyDescent="0.3">
      <c r="A222" s="19" t="s">
        <v>99</v>
      </c>
      <c r="B222" s="32">
        <v>39900</v>
      </c>
      <c r="C222" s="32">
        <v>41000</v>
      </c>
      <c r="D222" s="31">
        <v>55</v>
      </c>
      <c r="F222" s="82">
        <v>46301</v>
      </c>
      <c r="G222" s="33">
        <v>1178646</v>
      </c>
      <c r="H222" s="33">
        <v>1211140</v>
      </c>
      <c r="I222" s="33">
        <v>29.54</v>
      </c>
      <c r="P222" s="58"/>
    </row>
    <row r="223" spans="1:16" x14ac:dyDescent="0.3">
      <c r="A223" s="19" t="s">
        <v>99</v>
      </c>
      <c r="B223" s="32">
        <v>39900</v>
      </c>
      <c r="C223" s="32">
        <v>41000</v>
      </c>
      <c r="D223" s="31">
        <v>55</v>
      </c>
      <c r="F223" s="82">
        <v>46301</v>
      </c>
      <c r="G223" s="33">
        <v>156009</v>
      </c>
      <c r="H223" s="33">
        <v>160310</v>
      </c>
      <c r="I223" s="33">
        <v>3.91</v>
      </c>
      <c r="P223" s="58"/>
    </row>
    <row r="224" spans="1:16" x14ac:dyDescent="0.3">
      <c r="A224" s="19" t="s">
        <v>99</v>
      </c>
      <c r="B224" s="32">
        <v>39900</v>
      </c>
      <c r="C224" s="32">
        <v>41000</v>
      </c>
      <c r="D224" s="31">
        <v>55</v>
      </c>
      <c r="F224" s="82">
        <v>46301</v>
      </c>
      <c r="G224" s="33">
        <v>786429</v>
      </c>
      <c r="H224" s="33">
        <v>808110</v>
      </c>
      <c r="I224" s="33">
        <v>19.71</v>
      </c>
      <c r="P224" s="58"/>
    </row>
    <row r="225" spans="1:16" x14ac:dyDescent="0.3">
      <c r="A225" s="19" t="s">
        <v>99</v>
      </c>
      <c r="B225" s="32">
        <v>38000</v>
      </c>
      <c r="C225" s="32">
        <v>41000</v>
      </c>
      <c r="D225" s="31">
        <v>55</v>
      </c>
      <c r="F225" s="82">
        <v>46301</v>
      </c>
      <c r="G225" s="33">
        <v>2245990</v>
      </c>
      <c r="H225" s="33">
        <v>2423305</v>
      </c>
      <c r="I225" s="33">
        <v>59.104999999999997</v>
      </c>
      <c r="P225" s="58"/>
    </row>
    <row r="226" spans="1:16" x14ac:dyDescent="0.3">
      <c r="A226" s="19" t="s">
        <v>8</v>
      </c>
      <c r="B226" s="32">
        <v>38000</v>
      </c>
      <c r="C226" s="32">
        <v>40350</v>
      </c>
      <c r="D226" s="31">
        <v>57</v>
      </c>
      <c r="E226" s="19" t="s">
        <v>117</v>
      </c>
      <c r="F226" s="82">
        <v>46304</v>
      </c>
      <c r="G226" s="33">
        <v>1684160</v>
      </c>
      <c r="H226" s="33">
        <v>1788312</v>
      </c>
      <c r="I226" s="33">
        <v>44.32</v>
      </c>
      <c r="P226" s="58"/>
    </row>
    <row r="227" spans="1:16" x14ac:dyDescent="0.3">
      <c r="A227" s="19" t="s">
        <v>8</v>
      </c>
      <c r="B227" s="32">
        <v>40100</v>
      </c>
      <c r="C227" s="32">
        <v>40350</v>
      </c>
      <c r="D227" s="31">
        <v>57</v>
      </c>
      <c r="F227" s="82">
        <v>46304</v>
      </c>
      <c r="G227" s="33">
        <v>1573523.9999999998</v>
      </c>
      <c r="H227" s="33">
        <v>1583333.9999999998</v>
      </c>
      <c r="I227" s="33">
        <v>39.239999999999995</v>
      </c>
      <c r="P227" s="58"/>
    </row>
    <row r="228" spans="1:16" x14ac:dyDescent="0.3">
      <c r="A228" s="19" t="s">
        <v>8</v>
      </c>
      <c r="B228" s="32">
        <v>40100</v>
      </c>
      <c r="C228" s="32">
        <v>40350</v>
      </c>
      <c r="D228" s="31">
        <v>57</v>
      </c>
      <c r="F228" s="82">
        <v>46304</v>
      </c>
      <c r="G228" s="33">
        <v>1578737</v>
      </c>
      <c r="H228" s="33">
        <v>1588579.5</v>
      </c>
      <c r="I228" s="33">
        <v>39.369999999999997</v>
      </c>
      <c r="P228" s="58"/>
    </row>
    <row r="229" spans="1:16" x14ac:dyDescent="0.3">
      <c r="A229" s="19" t="s">
        <v>8</v>
      </c>
      <c r="B229" s="32">
        <v>40100</v>
      </c>
      <c r="C229" s="32">
        <v>40350</v>
      </c>
      <c r="D229" s="31">
        <v>57</v>
      </c>
      <c r="F229" s="82">
        <v>46304</v>
      </c>
      <c r="G229" s="33">
        <v>5912745</v>
      </c>
      <c r="H229" s="33">
        <v>5949607.5</v>
      </c>
      <c r="I229" s="33">
        <v>147.44999999999999</v>
      </c>
      <c r="P229" s="58"/>
    </row>
    <row r="230" spans="1:16" x14ac:dyDescent="0.3">
      <c r="A230" s="19" t="s">
        <v>8</v>
      </c>
      <c r="B230" s="32">
        <v>40100</v>
      </c>
      <c r="C230" s="32">
        <v>40350</v>
      </c>
      <c r="D230" s="31">
        <v>57</v>
      </c>
      <c r="F230" s="82">
        <v>46304</v>
      </c>
      <c r="G230" s="33">
        <v>61754</v>
      </c>
      <c r="H230" s="33">
        <v>62139</v>
      </c>
      <c r="I230" s="33">
        <v>1.54</v>
      </c>
      <c r="P230" s="58"/>
    </row>
    <row r="231" spans="1:16" x14ac:dyDescent="0.3">
      <c r="A231" s="19" t="s">
        <v>8</v>
      </c>
      <c r="B231" s="32">
        <v>40100</v>
      </c>
      <c r="C231" s="32">
        <v>40350</v>
      </c>
      <c r="D231" s="31">
        <v>57</v>
      </c>
      <c r="F231" s="82">
        <v>46304</v>
      </c>
      <c r="G231" s="33">
        <v>708166</v>
      </c>
      <c r="H231" s="33">
        <v>712581</v>
      </c>
      <c r="I231" s="33">
        <v>17.66</v>
      </c>
      <c r="P231" s="58"/>
    </row>
    <row r="232" spans="1:16" x14ac:dyDescent="0.3">
      <c r="A232" s="19" t="s">
        <v>8</v>
      </c>
      <c r="B232" s="32">
        <v>40100</v>
      </c>
      <c r="C232" s="32">
        <v>40350</v>
      </c>
      <c r="D232" s="31">
        <v>57</v>
      </c>
      <c r="F232" s="82">
        <v>46304</v>
      </c>
      <c r="G232" s="33">
        <v>314785</v>
      </c>
      <c r="H232" s="33">
        <v>316747.5</v>
      </c>
      <c r="I232" s="33">
        <v>7.85</v>
      </c>
      <c r="P232" s="58"/>
    </row>
    <row r="233" spans="1:16" x14ac:dyDescent="0.3">
      <c r="A233" s="19" t="s">
        <v>8</v>
      </c>
      <c r="B233" s="32">
        <v>40100</v>
      </c>
      <c r="C233" s="32">
        <v>40350</v>
      </c>
      <c r="D233" s="31">
        <v>57</v>
      </c>
      <c r="F233" s="82">
        <v>46304</v>
      </c>
      <c r="G233" s="33">
        <v>238194.00000000003</v>
      </c>
      <c r="H233" s="33">
        <v>239679.00000000003</v>
      </c>
      <c r="I233" s="33">
        <v>5.94</v>
      </c>
      <c r="P233" s="58"/>
    </row>
    <row r="234" spans="1:16" x14ac:dyDescent="0.3">
      <c r="A234" s="19" t="s">
        <v>8</v>
      </c>
      <c r="B234" s="32">
        <v>40100</v>
      </c>
      <c r="C234" s="32">
        <v>40350</v>
      </c>
      <c r="D234" s="31">
        <v>57</v>
      </c>
      <c r="F234" s="82">
        <v>46304</v>
      </c>
      <c r="G234" s="33">
        <v>78596</v>
      </c>
      <c r="H234" s="33">
        <v>79086</v>
      </c>
      <c r="I234" s="33">
        <v>1.96</v>
      </c>
      <c r="P234" s="58"/>
    </row>
    <row r="235" spans="1:16" x14ac:dyDescent="0.3">
      <c r="A235" s="19" t="s">
        <v>8</v>
      </c>
      <c r="B235" s="32">
        <v>40100</v>
      </c>
      <c r="C235" s="32">
        <v>40350</v>
      </c>
      <c r="D235" s="31">
        <v>57</v>
      </c>
      <c r="F235" s="82">
        <v>46304</v>
      </c>
      <c r="G235" s="33">
        <v>78195</v>
      </c>
      <c r="H235" s="33">
        <v>78682.5</v>
      </c>
      <c r="I235" s="33">
        <v>1.95</v>
      </c>
      <c r="P235" s="58"/>
    </row>
    <row r="236" spans="1:16" x14ac:dyDescent="0.3">
      <c r="A236" s="19" t="s">
        <v>8</v>
      </c>
      <c r="B236" s="32">
        <v>39450</v>
      </c>
      <c r="C236" s="32">
        <v>39600</v>
      </c>
      <c r="D236" s="31">
        <v>60</v>
      </c>
      <c r="E236" s="19" t="s">
        <v>116</v>
      </c>
      <c r="F236" s="82">
        <v>46306</v>
      </c>
      <c r="G236" s="33">
        <v>361362</v>
      </c>
      <c r="H236" s="33">
        <v>362736</v>
      </c>
      <c r="I236" s="33">
        <v>9.16</v>
      </c>
      <c r="P236" s="58"/>
    </row>
    <row r="237" spans="1:16" x14ac:dyDescent="0.3">
      <c r="A237" s="19" t="s">
        <v>8</v>
      </c>
      <c r="B237" s="32">
        <v>39450</v>
      </c>
      <c r="C237" s="32">
        <v>39600</v>
      </c>
      <c r="D237" s="31">
        <v>60</v>
      </c>
      <c r="F237" s="82">
        <v>46306</v>
      </c>
      <c r="G237" s="33">
        <v>2859336</v>
      </c>
      <c r="H237" s="33">
        <v>2870208</v>
      </c>
      <c r="I237" s="33">
        <v>72.48</v>
      </c>
      <c r="P237" s="58"/>
    </row>
    <row r="238" spans="1:16" x14ac:dyDescent="0.3">
      <c r="A238" s="19" t="s">
        <v>8</v>
      </c>
      <c r="B238" s="32">
        <v>39450</v>
      </c>
      <c r="C238" s="32">
        <v>39600</v>
      </c>
      <c r="D238" s="31">
        <v>60</v>
      </c>
      <c r="F238" s="82">
        <v>46306</v>
      </c>
      <c r="G238" s="33">
        <v>791761.5</v>
      </c>
      <c r="H238" s="33">
        <v>794772</v>
      </c>
      <c r="I238" s="33">
        <v>20.07</v>
      </c>
      <c r="P238" s="58"/>
    </row>
    <row r="239" spans="1:16" x14ac:dyDescent="0.3">
      <c r="A239" s="19" t="s">
        <v>8</v>
      </c>
      <c r="B239" s="32">
        <v>39450</v>
      </c>
      <c r="C239" s="32">
        <v>39600</v>
      </c>
      <c r="D239" s="31">
        <v>60</v>
      </c>
      <c r="F239" s="82">
        <v>46306</v>
      </c>
      <c r="G239" s="33">
        <v>1927132.5</v>
      </c>
      <c r="H239" s="33">
        <v>1934460</v>
      </c>
      <c r="I239" s="33">
        <v>48.85</v>
      </c>
      <c r="P239" s="58"/>
    </row>
    <row r="240" spans="1:16" x14ac:dyDescent="0.3">
      <c r="A240" s="19" t="s">
        <v>8</v>
      </c>
      <c r="B240" s="32">
        <v>39450</v>
      </c>
      <c r="C240" s="32">
        <v>39600</v>
      </c>
      <c r="D240" s="31">
        <v>60</v>
      </c>
      <c r="F240" s="82">
        <v>46306</v>
      </c>
      <c r="G240" s="33">
        <v>3652281</v>
      </c>
      <c r="H240" s="33">
        <v>3666168</v>
      </c>
      <c r="I240" s="33">
        <v>92.58</v>
      </c>
      <c r="P240" s="58"/>
    </row>
    <row r="241" spans="1:16" x14ac:dyDescent="0.3">
      <c r="A241" s="19" t="s">
        <v>8</v>
      </c>
      <c r="B241" s="32">
        <v>39450</v>
      </c>
      <c r="C241" s="32">
        <v>39600</v>
      </c>
      <c r="D241" s="31">
        <v>60</v>
      </c>
      <c r="F241" s="82">
        <v>46306</v>
      </c>
      <c r="G241" s="33">
        <v>3639656.9999999995</v>
      </c>
      <c r="H241" s="33">
        <v>3653495.9999999995</v>
      </c>
      <c r="I241" s="33">
        <v>92.259999999999991</v>
      </c>
      <c r="P241" s="58"/>
    </row>
    <row r="242" spans="1:16" x14ac:dyDescent="0.3">
      <c r="A242" s="19" t="s">
        <v>8</v>
      </c>
      <c r="B242" s="32">
        <v>39450</v>
      </c>
      <c r="C242" s="32">
        <v>39600</v>
      </c>
      <c r="D242" s="31">
        <v>60</v>
      </c>
      <c r="F242" s="82">
        <v>46306</v>
      </c>
      <c r="G242" s="33">
        <v>867900</v>
      </c>
      <c r="H242" s="33">
        <v>871200</v>
      </c>
      <c r="I242" s="33">
        <v>22</v>
      </c>
      <c r="P242" s="58"/>
    </row>
    <row r="243" spans="1:16" x14ac:dyDescent="0.3">
      <c r="A243" s="19" t="s">
        <v>8</v>
      </c>
      <c r="B243" s="32">
        <v>39450</v>
      </c>
      <c r="C243" s="32">
        <v>39600</v>
      </c>
      <c r="D243" s="31">
        <v>60</v>
      </c>
      <c r="F243" s="82">
        <v>46306</v>
      </c>
      <c r="G243" s="33">
        <v>962580</v>
      </c>
      <c r="H243" s="33">
        <v>966240</v>
      </c>
      <c r="I243" s="33">
        <v>24.4</v>
      </c>
      <c r="P243" s="58"/>
    </row>
    <row r="244" spans="1:16" x14ac:dyDescent="0.3">
      <c r="A244" s="19" t="s">
        <v>8</v>
      </c>
      <c r="B244" s="32">
        <v>39450</v>
      </c>
      <c r="C244" s="32">
        <v>39600</v>
      </c>
      <c r="D244" s="31">
        <v>60</v>
      </c>
      <c r="F244" s="82">
        <v>46306</v>
      </c>
      <c r="G244" s="33">
        <v>2566222.5</v>
      </c>
      <c r="H244" s="33">
        <v>2575980</v>
      </c>
      <c r="I244" s="33">
        <v>65.05</v>
      </c>
      <c r="P244" s="58"/>
    </row>
    <row r="245" spans="1:16" x14ac:dyDescent="0.3">
      <c r="A245" s="19" t="s">
        <v>8</v>
      </c>
      <c r="B245" s="32">
        <v>39450</v>
      </c>
      <c r="C245" s="32">
        <v>39600</v>
      </c>
      <c r="D245" s="31">
        <v>60</v>
      </c>
      <c r="F245" s="82">
        <v>46306</v>
      </c>
      <c r="G245" s="33">
        <v>873423</v>
      </c>
      <c r="H245" s="33">
        <v>876744</v>
      </c>
      <c r="I245" s="33">
        <v>22.14</v>
      </c>
      <c r="P245" s="58"/>
    </row>
    <row r="246" spans="1:16" x14ac:dyDescent="0.3">
      <c r="A246" s="19" t="s">
        <v>8</v>
      </c>
      <c r="B246" s="32">
        <v>39450</v>
      </c>
      <c r="C246" s="32">
        <v>39600</v>
      </c>
      <c r="D246" s="31">
        <v>60</v>
      </c>
      <c r="F246" s="82">
        <v>46306</v>
      </c>
      <c r="G246" s="33">
        <v>1940940</v>
      </c>
      <c r="H246" s="33">
        <v>1948320</v>
      </c>
      <c r="I246" s="33">
        <v>49.2</v>
      </c>
      <c r="P246" s="58"/>
    </row>
    <row r="247" spans="1:16" x14ac:dyDescent="0.3">
      <c r="A247" s="19" t="s">
        <v>8</v>
      </c>
      <c r="B247" s="32">
        <v>39450</v>
      </c>
      <c r="C247" s="32">
        <v>39600</v>
      </c>
      <c r="D247" s="31">
        <v>60</v>
      </c>
      <c r="F247" s="82">
        <v>46306</v>
      </c>
      <c r="G247" s="33">
        <v>2082565.5</v>
      </c>
      <c r="H247" s="33">
        <v>2090484</v>
      </c>
      <c r="I247" s="33">
        <v>52.79</v>
      </c>
      <c r="P247" s="58"/>
    </row>
    <row r="248" spans="1:16" x14ac:dyDescent="0.3">
      <c r="A248" s="19" t="s">
        <v>8</v>
      </c>
      <c r="B248" s="32">
        <v>39450</v>
      </c>
      <c r="C248" s="32">
        <v>39600</v>
      </c>
      <c r="D248" s="31">
        <v>60</v>
      </c>
      <c r="F248" s="82">
        <v>46306</v>
      </c>
      <c r="G248" s="33">
        <v>3878723.9999999995</v>
      </c>
      <c r="H248" s="33">
        <v>3893471.9999999995</v>
      </c>
      <c r="I248" s="33">
        <v>98.32</v>
      </c>
      <c r="P248" s="58"/>
    </row>
    <row r="249" spans="1:16" x14ac:dyDescent="0.3">
      <c r="A249" s="19" t="s">
        <v>11</v>
      </c>
      <c r="B249" s="32">
        <v>41600</v>
      </c>
      <c r="C249" s="32">
        <v>42000</v>
      </c>
      <c r="D249" s="31">
        <v>61</v>
      </c>
      <c r="E249" s="19" t="s">
        <v>118</v>
      </c>
      <c r="F249" s="82">
        <v>46307</v>
      </c>
      <c r="G249" s="33">
        <v>238784</v>
      </c>
      <c r="H249" s="33">
        <v>241080</v>
      </c>
      <c r="I249" s="33">
        <v>5.74</v>
      </c>
      <c r="P249" s="58"/>
    </row>
    <row r="250" spans="1:16" x14ac:dyDescent="0.3">
      <c r="A250" s="19" t="s">
        <v>11</v>
      </c>
      <c r="B250" s="32">
        <v>41600</v>
      </c>
      <c r="C250" s="32">
        <v>42000</v>
      </c>
      <c r="D250" s="31">
        <v>61</v>
      </c>
      <c r="F250" s="82">
        <v>46307</v>
      </c>
      <c r="G250" s="33">
        <v>321152</v>
      </c>
      <c r="H250" s="33">
        <v>324240</v>
      </c>
      <c r="I250" s="33">
        <v>7.72</v>
      </c>
      <c r="P250" s="58"/>
    </row>
    <row r="251" spans="1:16" x14ac:dyDescent="0.3">
      <c r="A251" s="19" t="s">
        <v>11</v>
      </c>
      <c r="B251" s="32">
        <v>41600</v>
      </c>
      <c r="C251" s="32">
        <v>42000</v>
      </c>
      <c r="D251" s="31">
        <v>61</v>
      </c>
      <c r="F251" s="82">
        <v>46307</v>
      </c>
      <c r="G251" s="33">
        <v>321984</v>
      </c>
      <c r="H251" s="33">
        <v>325080</v>
      </c>
      <c r="I251" s="33">
        <v>7.74</v>
      </c>
      <c r="P251" s="58"/>
    </row>
    <row r="252" spans="1:16" x14ac:dyDescent="0.3">
      <c r="A252" s="19" t="s">
        <v>11</v>
      </c>
      <c r="B252" s="32">
        <v>41600</v>
      </c>
      <c r="C252" s="32">
        <v>42000</v>
      </c>
      <c r="D252" s="31">
        <v>61</v>
      </c>
      <c r="F252" s="82">
        <v>46307</v>
      </c>
      <c r="G252" s="33">
        <v>162240</v>
      </c>
      <c r="H252" s="33">
        <v>163800</v>
      </c>
      <c r="I252" s="33">
        <v>3.9</v>
      </c>
      <c r="P252" s="58"/>
    </row>
    <row r="253" spans="1:16" x14ac:dyDescent="0.3">
      <c r="A253" s="19" t="s">
        <v>11</v>
      </c>
      <c r="B253" s="32">
        <v>41600</v>
      </c>
      <c r="C253" s="32">
        <v>42000</v>
      </c>
      <c r="D253" s="31">
        <v>61</v>
      </c>
      <c r="F253" s="82">
        <v>46307</v>
      </c>
      <c r="G253" s="33">
        <v>242112</v>
      </c>
      <c r="H253" s="33">
        <v>244440</v>
      </c>
      <c r="I253" s="33">
        <v>5.82</v>
      </c>
      <c r="P253" s="58"/>
    </row>
    <row r="254" spans="1:16" x14ac:dyDescent="0.3">
      <c r="A254" s="19" t="s">
        <v>11</v>
      </c>
      <c r="B254" s="32">
        <v>41600</v>
      </c>
      <c r="C254" s="32">
        <v>42000</v>
      </c>
      <c r="D254" s="31">
        <v>61</v>
      </c>
      <c r="F254" s="82">
        <v>46307</v>
      </c>
      <c r="G254" s="33">
        <v>324480</v>
      </c>
      <c r="H254" s="33">
        <v>327600</v>
      </c>
      <c r="I254" s="33">
        <v>7.8</v>
      </c>
      <c r="P254" s="58"/>
    </row>
    <row r="255" spans="1:16" x14ac:dyDescent="0.3">
      <c r="A255" s="19" t="s">
        <v>11</v>
      </c>
      <c r="B255" s="32">
        <v>39800</v>
      </c>
      <c r="C255" s="32">
        <v>40000</v>
      </c>
      <c r="D255" s="31">
        <v>62</v>
      </c>
      <c r="E255" s="19" t="s">
        <v>119</v>
      </c>
      <c r="F255" s="82">
        <v>46307</v>
      </c>
      <c r="G255" s="33">
        <v>184473</v>
      </c>
      <c r="H255" s="33">
        <v>185400</v>
      </c>
      <c r="I255" s="33">
        <v>4.6349999999999998</v>
      </c>
      <c r="P255" s="58"/>
    </row>
    <row r="256" spans="1:16" x14ac:dyDescent="0.3">
      <c r="A256" s="19" t="s">
        <v>11</v>
      </c>
      <c r="B256" s="32">
        <v>39800</v>
      </c>
      <c r="C256" s="32">
        <v>40000</v>
      </c>
      <c r="D256" s="31">
        <v>62</v>
      </c>
      <c r="F256" s="82">
        <v>46307</v>
      </c>
      <c r="G256" s="33">
        <v>711823.00000000012</v>
      </c>
      <c r="H256" s="33">
        <v>715400.00000000012</v>
      </c>
      <c r="I256" s="33">
        <v>17.885000000000002</v>
      </c>
      <c r="P256" s="58"/>
    </row>
    <row r="257" spans="1:16" x14ac:dyDescent="0.3">
      <c r="A257" s="19" t="s">
        <v>11</v>
      </c>
      <c r="B257" s="32">
        <v>39800</v>
      </c>
      <c r="C257" s="32">
        <v>40000</v>
      </c>
      <c r="D257" s="31">
        <v>62</v>
      </c>
      <c r="F257" s="82">
        <v>46307</v>
      </c>
      <c r="G257" s="33">
        <v>930325</v>
      </c>
      <c r="H257" s="33">
        <v>935000</v>
      </c>
      <c r="I257" s="33">
        <v>23.375</v>
      </c>
      <c r="P257" s="58"/>
    </row>
    <row r="258" spans="1:16" x14ac:dyDescent="0.3">
      <c r="A258" s="19" t="s">
        <v>11</v>
      </c>
      <c r="B258" s="32">
        <v>39800</v>
      </c>
      <c r="C258" s="32">
        <v>40000</v>
      </c>
      <c r="D258" s="31">
        <v>62</v>
      </c>
      <c r="F258" s="82">
        <v>46307</v>
      </c>
      <c r="G258" s="33">
        <v>1950200</v>
      </c>
      <c r="H258" s="33">
        <v>1960000</v>
      </c>
      <c r="I258" s="33">
        <v>49</v>
      </c>
      <c r="P258" s="58"/>
    </row>
    <row r="259" spans="1:16" x14ac:dyDescent="0.3">
      <c r="A259" s="19" t="s">
        <v>11</v>
      </c>
      <c r="B259" s="32">
        <v>39800</v>
      </c>
      <c r="C259" s="32">
        <v>40100</v>
      </c>
      <c r="D259" s="31">
        <v>63</v>
      </c>
      <c r="E259" s="19" t="s">
        <v>119</v>
      </c>
      <c r="F259" s="82">
        <v>46308</v>
      </c>
      <c r="G259" s="33">
        <v>77212</v>
      </c>
      <c r="H259" s="33">
        <v>77794</v>
      </c>
      <c r="I259" s="33">
        <v>1.94</v>
      </c>
      <c r="P259" s="58"/>
    </row>
    <row r="260" spans="1:16" x14ac:dyDescent="0.3">
      <c r="A260" s="19" t="s">
        <v>11</v>
      </c>
      <c r="B260" s="32">
        <v>39800</v>
      </c>
      <c r="C260" s="32">
        <v>40100</v>
      </c>
      <c r="D260" s="31">
        <v>63</v>
      </c>
      <c r="F260" s="82">
        <v>46308</v>
      </c>
      <c r="G260" s="33">
        <v>77212</v>
      </c>
      <c r="H260" s="33">
        <v>77794</v>
      </c>
      <c r="I260" s="33">
        <v>1.94</v>
      </c>
      <c r="P260" s="58"/>
    </row>
    <row r="261" spans="1:16" x14ac:dyDescent="0.3">
      <c r="A261" s="19" t="s">
        <v>11</v>
      </c>
      <c r="B261" s="32">
        <v>39800</v>
      </c>
      <c r="C261" s="32">
        <v>40100</v>
      </c>
      <c r="D261" s="31">
        <v>63</v>
      </c>
      <c r="F261" s="82">
        <v>46308</v>
      </c>
      <c r="G261" s="33">
        <v>78804</v>
      </c>
      <c r="H261" s="33">
        <v>79398</v>
      </c>
      <c r="I261" s="33">
        <v>1.98</v>
      </c>
      <c r="P261" s="58"/>
    </row>
    <row r="262" spans="1:16" x14ac:dyDescent="0.3">
      <c r="A262" s="19" t="s">
        <v>11</v>
      </c>
      <c r="B262" s="32">
        <v>39800</v>
      </c>
      <c r="C262" s="32">
        <v>40100</v>
      </c>
      <c r="D262" s="31">
        <v>63</v>
      </c>
      <c r="F262" s="82">
        <v>46308</v>
      </c>
      <c r="G262" s="33">
        <v>77610</v>
      </c>
      <c r="H262" s="33">
        <v>78195</v>
      </c>
      <c r="I262" s="33">
        <v>1.95</v>
      </c>
      <c r="P262" s="58"/>
    </row>
    <row r="263" spans="1:16" x14ac:dyDescent="0.3">
      <c r="A263" s="19" t="s">
        <v>11</v>
      </c>
      <c r="B263" s="32">
        <v>39800</v>
      </c>
      <c r="C263" s="32">
        <v>40100</v>
      </c>
      <c r="D263" s="31">
        <v>63</v>
      </c>
      <c r="F263" s="82">
        <v>46308</v>
      </c>
      <c r="G263" s="33">
        <v>480784</v>
      </c>
      <c r="H263" s="33">
        <v>484408</v>
      </c>
      <c r="I263" s="33">
        <v>12.08</v>
      </c>
      <c r="P263" s="58"/>
    </row>
    <row r="264" spans="1:16" x14ac:dyDescent="0.3">
      <c r="A264" s="19" t="s">
        <v>11</v>
      </c>
      <c r="B264" s="32">
        <v>39800</v>
      </c>
      <c r="C264" s="32">
        <v>40100</v>
      </c>
      <c r="D264" s="31">
        <v>63</v>
      </c>
      <c r="F264" s="82">
        <v>46308</v>
      </c>
      <c r="G264" s="33">
        <v>6326210</v>
      </c>
      <c r="H264" s="33">
        <v>6373895</v>
      </c>
      <c r="I264" s="33">
        <v>158.94999999999999</v>
      </c>
      <c r="P264" s="58"/>
    </row>
    <row r="265" spans="1:16" x14ac:dyDescent="0.3">
      <c r="A265" s="19" t="s">
        <v>8</v>
      </c>
      <c r="B265" s="32">
        <v>40100</v>
      </c>
      <c r="C265" s="32">
        <v>40500</v>
      </c>
      <c r="D265" s="31">
        <v>64</v>
      </c>
      <c r="E265" s="19" t="s">
        <v>117</v>
      </c>
      <c r="F265" s="82">
        <v>46309</v>
      </c>
      <c r="G265" s="33">
        <v>122706</v>
      </c>
      <c r="H265" s="33">
        <v>123930</v>
      </c>
      <c r="I265" s="33">
        <v>3.06</v>
      </c>
      <c r="P265" s="58"/>
    </row>
    <row r="266" spans="1:16" x14ac:dyDescent="0.3">
      <c r="A266" s="19" t="s">
        <v>8</v>
      </c>
      <c r="B266" s="32">
        <v>40100</v>
      </c>
      <c r="C266" s="32">
        <v>40500</v>
      </c>
      <c r="D266" s="31">
        <v>64</v>
      </c>
      <c r="F266" s="82">
        <v>46309</v>
      </c>
      <c r="G266" s="33">
        <v>481400.50000000006</v>
      </c>
      <c r="H266" s="33">
        <v>486202.50000000006</v>
      </c>
      <c r="I266" s="33">
        <v>12.005000000000001</v>
      </c>
      <c r="P266" s="58"/>
    </row>
    <row r="267" spans="1:16" x14ac:dyDescent="0.3">
      <c r="A267" s="19" t="s">
        <v>8</v>
      </c>
      <c r="B267" s="32">
        <v>40100</v>
      </c>
      <c r="C267" s="32">
        <v>40500</v>
      </c>
      <c r="D267" s="31">
        <v>64</v>
      </c>
      <c r="F267" s="82">
        <v>46309</v>
      </c>
      <c r="G267" s="33">
        <v>157793.5</v>
      </c>
      <c r="H267" s="33">
        <v>159367.5</v>
      </c>
      <c r="I267" s="33">
        <v>3.9350000000000001</v>
      </c>
      <c r="P267" s="58"/>
    </row>
    <row r="268" spans="1:16" x14ac:dyDescent="0.3">
      <c r="A268" s="19" t="s">
        <v>8</v>
      </c>
      <c r="B268" s="32">
        <v>40100</v>
      </c>
      <c r="C268" s="32">
        <v>40500</v>
      </c>
      <c r="D268" s="31">
        <v>64</v>
      </c>
      <c r="F268" s="82">
        <v>46309</v>
      </c>
      <c r="G268" s="33">
        <v>394383.50000000006</v>
      </c>
      <c r="H268" s="33">
        <v>398317.50000000006</v>
      </c>
      <c r="I268" s="33">
        <v>9.8350000000000009</v>
      </c>
      <c r="P268" s="58"/>
    </row>
    <row r="269" spans="1:16" x14ac:dyDescent="0.3">
      <c r="A269" s="19" t="s">
        <v>8</v>
      </c>
      <c r="B269" s="32">
        <v>40100</v>
      </c>
      <c r="C269" s="32">
        <v>40500</v>
      </c>
      <c r="D269" s="31">
        <v>64</v>
      </c>
      <c r="F269" s="82">
        <v>46309</v>
      </c>
      <c r="G269" s="33">
        <v>80600.999999999985</v>
      </c>
      <c r="H269" s="33">
        <v>81404.999999999985</v>
      </c>
      <c r="I269" s="33">
        <v>2.0099999999999998</v>
      </c>
      <c r="P269" s="58"/>
    </row>
    <row r="270" spans="1:16" x14ac:dyDescent="0.3">
      <c r="A270" s="19" t="s">
        <v>8</v>
      </c>
      <c r="B270" s="32">
        <v>40100</v>
      </c>
      <c r="C270" s="32">
        <v>40500</v>
      </c>
      <c r="D270" s="31">
        <v>67</v>
      </c>
      <c r="E270" s="19" t="s">
        <v>117</v>
      </c>
      <c r="F270" s="82">
        <v>46309</v>
      </c>
      <c r="G270" s="33">
        <v>62355.5</v>
      </c>
      <c r="H270" s="33">
        <v>62977.5</v>
      </c>
      <c r="I270" s="33">
        <v>1.5549999999999999</v>
      </c>
      <c r="P270" s="58"/>
    </row>
    <row r="271" spans="1:16" x14ac:dyDescent="0.3">
      <c r="A271" s="19" t="s">
        <v>8</v>
      </c>
      <c r="B271" s="32">
        <v>40100</v>
      </c>
      <c r="C271" s="32">
        <v>40500</v>
      </c>
      <c r="D271" s="31">
        <v>67</v>
      </c>
      <c r="F271" s="82">
        <v>46309</v>
      </c>
      <c r="G271" s="33">
        <v>159397.5</v>
      </c>
      <c r="H271" s="33">
        <v>160987.5</v>
      </c>
      <c r="I271" s="33">
        <v>3.9750000000000001</v>
      </c>
      <c r="P271" s="58"/>
    </row>
    <row r="272" spans="1:16" x14ac:dyDescent="0.3">
      <c r="A272" s="19" t="s">
        <v>8</v>
      </c>
      <c r="B272" s="32">
        <v>40100</v>
      </c>
      <c r="C272" s="32">
        <v>40500</v>
      </c>
      <c r="D272" s="31">
        <v>67</v>
      </c>
      <c r="F272" s="82">
        <v>46309</v>
      </c>
      <c r="G272" s="33">
        <v>79197.5</v>
      </c>
      <c r="H272" s="33">
        <v>79987.5</v>
      </c>
      <c r="I272" s="33">
        <v>1.9750000000000001</v>
      </c>
      <c r="P272" s="58"/>
    </row>
    <row r="273" spans="1:16" x14ac:dyDescent="0.3">
      <c r="A273" s="19" t="s">
        <v>8</v>
      </c>
      <c r="B273" s="32">
        <v>40100</v>
      </c>
      <c r="C273" s="32">
        <v>40500</v>
      </c>
      <c r="D273" s="31">
        <v>67</v>
      </c>
      <c r="F273" s="82">
        <v>46309</v>
      </c>
      <c r="G273" s="33">
        <v>236590</v>
      </c>
      <c r="H273" s="33">
        <v>238950</v>
      </c>
      <c r="I273" s="33">
        <v>5.9</v>
      </c>
      <c r="P273" s="58"/>
    </row>
    <row r="274" spans="1:16" x14ac:dyDescent="0.3">
      <c r="A274" s="19" t="s">
        <v>11</v>
      </c>
      <c r="B274" s="32">
        <v>39100</v>
      </c>
      <c r="C274" s="32">
        <v>39300</v>
      </c>
      <c r="D274" s="31">
        <v>68</v>
      </c>
      <c r="E274" s="19" t="s">
        <v>116</v>
      </c>
      <c r="F274" s="82">
        <v>46309</v>
      </c>
      <c r="G274" s="33">
        <v>1158142</v>
      </c>
      <c r="H274" s="33">
        <v>1164066</v>
      </c>
      <c r="I274" s="33">
        <v>29.62</v>
      </c>
      <c r="P274" s="58"/>
    </row>
    <row r="275" spans="1:16" x14ac:dyDescent="0.3">
      <c r="A275" s="19" t="s">
        <v>11</v>
      </c>
      <c r="B275" s="32">
        <v>39100</v>
      </c>
      <c r="C275" s="32">
        <v>39300</v>
      </c>
      <c r="D275" s="31">
        <v>69</v>
      </c>
      <c r="E275" s="19" t="s">
        <v>116</v>
      </c>
      <c r="F275" s="82">
        <v>46312</v>
      </c>
      <c r="G275" s="33">
        <v>1774358</v>
      </c>
      <c r="H275" s="33">
        <v>1783434</v>
      </c>
      <c r="I275" s="33">
        <v>45.38</v>
      </c>
      <c r="P275" s="58"/>
    </row>
    <row r="276" spans="1:16" x14ac:dyDescent="0.3">
      <c r="A276" s="19" t="s">
        <v>100</v>
      </c>
      <c r="B276" s="32">
        <v>41150</v>
      </c>
      <c r="C276" s="32">
        <v>42500</v>
      </c>
      <c r="D276" s="31">
        <v>70</v>
      </c>
      <c r="E276" s="19" t="s">
        <v>120</v>
      </c>
      <c r="F276" s="82">
        <v>46310</v>
      </c>
      <c r="G276" s="33">
        <v>471579.00000000006</v>
      </c>
      <c r="H276" s="33">
        <v>487050.00000000006</v>
      </c>
      <c r="I276" s="33">
        <v>11.46</v>
      </c>
      <c r="P276" s="58"/>
    </row>
    <row r="277" spans="1:16" x14ac:dyDescent="0.3">
      <c r="A277" s="19" t="s">
        <v>100</v>
      </c>
      <c r="B277" s="32">
        <v>41150</v>
      </c>
      <c r="C277" s="32">
        <v>42500</v>
      </c>
      <c r="D277" s="31">
        <v>70</v>
      </c>
      <c r="F277" s="82">
        <v>46310</v>
      </c>
      <c r="G277" s="33">
        <v>712718</v>
      </c>
      <c r="H277" s="33">
        <v>736100</v>
      </c>
      <c r="I277" s="33">
        <v>17.32</v>
      </c>
      <c r="P277" s="58"/>
    </row>
    <row r="278" spans="1:16" x14ac:dyDescent="0.3">
      <c r="A278" s="19" t="s">
        <v>100</v>
      </c>
      <c r="B278" s="32">
        <v>41150</v>
      </c>
      <c r="C278" s="32">
        <v>42500</v>
      </c>
      <c r="D278" s="31">
        <v>70</v>
      </c>
      <c r="F278" s="82">
        <v>46310</v>
      </c>
      <c r="G278" s="33">
        <v>402447</v>
      </c>
      <c r="H278" s="33">
        <v>415650</v>
      </c>
      <c r="I278" s="33">
        <v>9.7799999999999994</v>
      </c>
      <c r="P278" s="58"/>
    </row>
    <row r="279" spans="1:16" x14ac:dyDescent="0.3">
      <c r="A279" s="19" t="s">
        <v>100</v>
      </c>
      <c r="B279" s="32">
        <v>41150</v>
      </c>
      <c r="C279" s="32">
        <v>42500</v>
      </c>
      <c r="D279" s="31">
        <v>70</v>
      </c>
      <c r="F279" s="82">
        <v>46310</v>
      </c>
      <c r="G279" s="33">
        <v>430429.00000000006</v>
      </c>
      <c r="H279" s="33">
        <v>444550.00000000006</v>
      </c>
      <c r="I279" s="33">
        <v>10.46</v>
      </c>
      <c r="P279" s="58"/>
    </row>
    <row r="280" spans="1:16" x14ac:dyDescent="0.3">
      <c r="A280" s="19" t="s">
        <v>11</v>
      </c>
      <c r="B280" s="32">
        <v>39200</v>
      </c>
      <c r="C280" s="32">
        <v>39300</v>
      </c>
      <c r="D280" s="31">
        <v>71</v>
      </c>
      <c r="E280" s="19" t="s">
        <v>116</v>
      </c>
      <c r="F280" s="82">
        <v>46313</v>
      </c>
      <c r="G280" s="33">
        <v>232651.99999999997</v>
      </c>
      <c r="H280" s="33">
        <v>233245.49999999997</v>
      </c>
      <c r="I280" s="33">
        <v>5.9349999999999996</v>
      </c>
      <c r="P280" s="58"/>
    </row>
    <row r="281" spans="1:16" x14ac:dyDescent="0.3">
      <c r="A281" s="19" t="s">
        <v>11</v>
      </c>
      <c r="B281" s="32">
        <v>39200</v>
      </c>
      <c r="C281" s="32">
        <v>39300</v>
      </c>
      <c r="D281" s="31">
        <v>71</v>
      </c>
      <c r="F281" s="82">
        <v>46313</v>
      </c>
      <c r="G281" s="33">
        <v>614656</v>
      </c>
      <c r="H281" s="33">
        <v>616224</v>
      </c>
      <c r="I281" s="33">
        <v>15.68</v>
      </c>
      <c r="P281" s="58"/>
    </row>
    <row r="282" spans="1:16" x14ac:dyDescent="0.3">
      <c r="A282" s="19" t="s">
        <v>11</v>
      </c>
      <c r="B282" s="32">
        <v>39200</v>
      </c>
      <c r="C282" s="32">
        <v>39300</v>
      </c>
      <c r="D282" s="31">
        <v>71</v>
      </c>
      <c r="F282" s="82">
        <v>46313</v>
      </c>
      <c r="G282" s="33">
        <v>305956</v>
      </c>
      <c r="H282" s="33">
        <v>306736.5</v>
      </c>
      <c r="I282" s="33">
        <v>7.8049999999999997</v>
      </c>
      <c r="P282" s="58"/>
    </row>
    <row r="283" spans="1:16" x14ac:dyDescent="0.3">
      <c r="A283" s="19" t="s">
        <v>99</v>
      </c>
      <c r="B283" s="32">
        <v>39800</v>
      </c>
      <c r="C283" s="32">
        <v>41000</v>
      </c>
      <c r="D283" s="31">
        <v>72</v>
      </c>
      <c r="E283" s="19" t="s">
        <v>121</v>
      </c>
      <c r="F283" s="82">
        <v>46313</v>
      </c>
      <c r="G283" s="33">
        <v>1982637</v>
      </c>
      <c r="H283" s="33">
        <v>2042415</v>
      </c>
      <c r="I283" s="33">
        <v>49.814999999999998</v>
      </c>
      <c r="P283" s="58"/>
    </row>
    <row r="284" spans="1:16" x14ac:dyDescent="0.3">
      <c r="A284" s="19" t="s">
        <v>99</v>
      </c>
      <c r="B284" s="32">
        <v>39800</v>
      </c>
      <c r="C284" s="32">
        <v>41000</v>
      </c>
      <c r="D284" s="31">
        <v>72</v>
      </c>
      <c r="F284" s="82">
        <v>46313</v>
      </c>
      <c r="G284" s="33">
        <v>390637</v>
      </c>
      <c r="H284" s="33">
        <v>402415</v>
      </c>
      <c r="I284" s="33">
        <v>9.8149999999999995</v>
      </c>
      <c r="P284" s="58"/>
    </row>
    <row r="285" spans="1:16" x14ac:dyDescent="0.3">
      <c r="A285" s="19" t="s">
        <v>99</v>
      </c>
      <c r="B285" s="32">
        <v>3960</v>
      </c>
      <c r="C285" s="32">
        <v>4200</v>
      </c>
      <c r="D285" s="31">
        <v>72</v>
      </c>
      <c r="F285" s="82">
        <v>46313</v>
      </c>
      <c r="G285" s="33">
        <v>277200</v>
      </c>
      <c r="H285" s="33">
        <v>294000</v>
      </c>
      <c r="I285" s="33">
        <v>70</v>
      </c>
      <c r="P285" s="58"/>
    </row>
    <row r="286" spans="1:16" x14ac:dyDescent="0.3">
      <c r="A286" s="19" t="s">
        <v>99</v>
      </c>
      <c r="B286" s="32">
        <v>3960</v>
      </c>
      <c r="C286" s="32">
        <v>4200</v>
      </c>
      <c r="D286" s="31">
        <v>72</v>
      </c>
      <c r="F286" s="82">
        <v>46313</v>
      </c>
      <c r="G286" s="33">
        <v>297000</v>
      </c>
      <c r="H286" s="33">
        <v>315000</v>
      </c>
      <c r="I286" s="33">
        <v>75</v>
      </c>
      <c r="P286" s="58"/>
    </row>
    <row r="287" spans="1:16" x14ac:dyDescent="0.3">
      <c r="A287" s="19" t="s">
        <v>8</v>
      </c>
      <c r="B287" s="32">
        <v>40100</v>
      </c>
      <c r="C287" s="32">
        <v>40400</v>
      </c>
      <c r="D287" s="31">
        <v>73</v>
      </c>
      <c r="E287" s="19" t="s">
        <v>117</v>
      </c>
      <c r="F287" s="82">
        <v>46314</v>
      </c>
      <c r="G287" s="33">
        <v>1598386</v>
      </c>
      <c r="H287" s="33">
        <v>1610344</v>
      </c>
      <c r="I287" s="33">
        <v>39.86</v>
      </c>
      <c r="P287" s="58"/>
    </row>
    <row r="288" spans="1:16" x14ac:dyDescent="0.3">
      <c r="A288" s="19" t="s">
        <v>8</v>
      </c>
      <c r="B288" s="32">
        <v>40100</v>
      </c>
      <c r="C288" s="32">
        <v>40400</v>
      </c>
      <c r="D288" s="31">
        <v>73</v>
      </c>
      <c r="F288" s="82">
        <v>46314</v>
      </c>
      <c r="G288" s="33">
        <v>1575930</v>
      </c>
      <c r="H288" s="33">
        <v>1587720</v>
      </c>
      <c r="I288" s="33">
        <v>39.299999999999997</v>
      </c>
      <c r="P288" s="58"/>
    </row>
    <row r="289" spans="1:16" x14ac:dyDescent="0.3">
      <c r="A289" s="19" t="s">
        <v>8</v>
      </c>
      <c r="B289" s="32">
        <v>40100</v>
      </c>
      <c r="C289" s="32">
        <v>40400</v>
      </c>
      <c r="D289" s="31">
        <v>73</v>
      </c>
      <c r="F289" s="82">
        <v>46314</v>
      </c>
      <c r="G289" s="33">
        <v>1583549</v>
      </c>
      <c r="H289" s="33">
        <v>1595396</v>
      </c>
      <c r="I289" s="33">
        <v>39.49</v>
      </c>
      <c r="P289" s="58"/>
    </row>
    <row r="290" spans="1:16" x14ac:dyDescent="0.3">
      <c r="A290" s="19" t="s">
        <v>8</v>
      </c>
      <c r="B290" s="32">
        <v>40100</v>
      </c>
      <c r="C290" s="32">
        <v>40400</v>
      </c>
      <c r="D290" s="31">
        <v>73</v>
      </c>
      <c r="F290" s="82">
        <v>46314</v>
      </c>
      <c r="G290" s="33">
        <v>1176734.5</v>
      </c>
      <c r="H290" s="33">
        <v>1185538</v>
      </c>
      <c r="I290" s="33">
        <v>29.344999999999999</v>
      </c>
      <c r="P290" s="58"/>
    </row>
    <row r="291" spans="1:16" x14ac:dyDescent="0.3">
      <c r="F291" s="20"/>
    </row>
    <row r="292" spans="1:16" x14ac:dyDescent="0.3">
      <c r="F292" s="20"/>
    </row>
    <row r="293" spans="1:16" x14ac:dyDescent="0.3">
      <c r="F293" s="20"/>
    </row>
    <row r="294" spans="1:16" x14ac:dyDescent="0.3">
      <c r="F294" s="20"/>
    </row>
    <row r="295" spans="1:16" x14ac:dyDescent="0.3">
      <c r="F295" s="20"/>
    </row>
    <row r="296" spans="1:16" x14ac:dyDescent="0.3">
      <c r="F296" s="20"/>
    </row>
    <row r="297" spans="1:16" x14ac:dyDescent="0.3">
      <c r="F297" s="20"/>
    </row>
    <row r="298" spans="1:16" x14ac:dyDescent="0.3">
      <c r="F298" s="20"/>
    </row>
    <row r="299" spans="1:16" x14ac:dyDescent="0.3">
      <c r="F299" s="20"/>
    </row>
    <row r="300" spans="1:16" x14ac:dyDescent="0.3">
      <c r="F300" s="20"/>
    </row>
    <row r="301" spans="1:16" x14ac:dyDescent="0.3">
      <c r="F301" s="20"/>
    </row>
    <row r="302" spans="1:16" x14ac:dyDescent="0.3">
      <c r="F302" s="20"/>
    </row>
    <row r="303" spans="1:16" x14ac:dyDescent="0.3">
      <c r="F303" s="20"/>
    </row>
    <row r="304" spans="1:16" x14ac:dyDescent="0.3">
      <c r="F304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>
    <pageSetUpPr fitToPage="1"/>
  </sheetPr>
  <dimension ref="A1:AC3992"/>
  <sheetViews>
    <sheetView rightToLeft="1" showWhiteSpace="0" topLeftCell="A10" zoomScale="98" zoomScaleNormal="98" workbookViewId="0">
      <selection activeCell="A19" sqref="A19:L36"/>
    </sheetView>
  </sheetViews>
  <sheetFormatPr defaultRowHeight="14.4" x14ac:dyDescent="0.3"/>
  <cols>
    <col min="1" max="1" width="11.88671875" customWidth="1"/>
    <col min="2" max="2" width="13.77734375" customWidth="1"/>
    <col min="3" max="3" width="16" hidden="1" customWidth="1"/>
    <col min="4" max="4" width="18.33203125" customWidth="1"/>
    <col min="5" max="5" width="12.109375" hidden="1" customWidth="1"/>
    <col min="6" max="6" width="20.77734375" customWidth="1"/>
    <col min="7" max="7" width="16.44140625" customWidth="1"/>
    <col min="8" max="8" width="14.77734375" customWidth="1"/>
    <col min="9" max="9" width="14.21875" customWidth="1"/>
    <col min="10" max="10" width="18.77734375" customWidth="1"/>
    <col min="11" max="11" width="17.6640625" customWidth="1"/>
    <col min="12" max="12" width="18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12" ht="18" customHeight="1" x14ac:dyDescent="0.3">
      <c r="A1" s="71" t="s">
        <v>88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2" ht="28.8" customHeight="1" x14ac:dyDescent="0.3">
      <c r="A2" s="36" t="s">
        <v>147</v>
      </c>
      <c r="B2" s="73" t="s">
        <v>141</v>
      </c>
      <c r="C2" s="74"/>
      <c r="D2" s="37" t="s">
        <v>148</v>
      </c>
      <c r="E2" s="38" t="s">
        <v>128</v>
      </c>
      <c r="F2" s="43" t="s">
        <v>91</v>
      </c>
      <c r="G2" s="39" t="s">
        <v>3</v>
      </c>
      <c r="H2" s="40" t="s">
        <v>92</v>
      </c>
      <c r="I2" s="39" t="s">
        <v>93</v>
      </c>
      <c r="J2" s="40" t="s">
        <v>94</v>
      </c>
      <c r="K2" s="39" t="s">
        <v>93</v>
      </c>
      <c r="L2" s="41" t="s">
        <v>95</v>
      </c>
    </row>
    <row r="3" spans="1:12" ht="14.4" customHeight="1" x14ac:dyDescent="0.3">
      <c r="A3" s="60" t="s">
        <v>96</v>
      </c>
      <c r="B3" s="59"/>
      <c r="C3" s="60"/>
      <c r="D3" s="61">
        <v>466287036.41008782</v>
      </c>
      <c r="E3" s="62">
        <v>287724951.74780703</v>
      </c>
      <c r="F3" s="61"/>
      <c r="G3" s="61">
        <v>287724951.74780703</v>
      </c>
      <c r="H3" s="63">
        <v>213366244.42777777</v>
      </c>
      <c r="I3" s="61">
        <v>74358707.320029229</v>
      </c>
      <c r="J3" s="61">
        <v>41320351.435818709</v>
      </c>
      <c r="K3" s="59"/>
      <c r="L3" s="59"/>
    </row>
    <row r="4" spans="1:12" ht="17.399999999999999" customHeight="1" x14ac:dyDescent="0.3">
      <c r="A4" s="44" t="s">
        <v>89</v>
      </c>
      <c r="B4" s="52" t="s">
        <v>0</v>
      </c>
      <c r="C4" s="52" t="s">
        <v>87</v>
      </c>
      <c r="D4" s="52" t="s">
        <v>75</v>
      </c>
      <c r="E4" s="52" t="s">
        <v>90</v>
      </c>
      <c r="F4" s="52" t="s">
        <v>3</v>
      </c>
      <c r="G4" s="52" t="s">
        <v>76</v>
      </c>
      <c r="H4" s="52" t="s">
        <v>77</v>
      </c>
      <c r="I4" s="52" t="s">
        <v>78</v>
      </c>
      <c r="J4" s="53" t="s">
        <v>79</v>
      </c>
      <c r="K4" s="53" t="s">
        <v>80</v>
      </c>
      <c r="L4" s="52" t="s">
        <v>81</v>
      </c>
    </row>
    <row r="5" spans="1:12" ht="17.399999999999999" customHeight="1" x14ac:dyDescent="0.35">
      <c r="A5" s="65">
        <v>55</v>
      </c>
      <c r="B5" s="84" t="s">
        <v>99</v>
      </c>
      <c r="C5" s="56">
        <v>46301</v>
      </c>
      <c r="D5" s="55">
        <v>4791465</v>
      </c>
      <c r="E5" s="54" t="s">
        <v>83</v>
      </c>
      <c r="F5" s="56">
        <v>46301</v>
      </c>
      <c r="G5" s="55">
        <v>2395732.5</v>
      </c>
      <c r="H5" s="55">
        <v>2394932</v>
      </c>
      <c r="I5" s="55">
        <v>800.5</v>
      </c>
      <c r="J5" s="55">
        <v>800.5</v>
      </c>
      <c r="K5" s="57" t="s">
        <v>142</v>
      </c>
      <c r="L5" s="54" t="s">
        <v>108</v>
      </c>
    </row>
    <row r="6" spans="1:12" ht="17.399999999999999" customHeight="1" x14ac:dyDescent="0.35">
      <c r="A6" s="45">
        <v>60</v>
      </c>
      <c r="B6" s="85" t="s">
        <v>8</v>
      </c>
      <c r="C6" s="56">
        <v>46306</v>
      </c>
      <c r="D6" s="55">
        <v>26271786.315789472</v>
      </c>
      <c r="E6" s="54" t="s">
        <v>83</v>
      </c>
      <c r="F6" s="56">
        <v>46306</v>
      </c>
      <c r="G6" s="55">
        <v>26271786.315789472</v>
      </c>
      <c r="H6" s="55">
        <v>12405748</v>
      </c>
      <c r="I6" s="55">
        <v>13866038.315789472</v>
      </c>
      <c r="J6" s="55">
        <v>13866038.315789472</v>
      </c>
      <c r="K6" s="57" t="s">
        <v>143</v>
      </c>
      <c r="L6" s="54" t="s">
        <v>108</v>
      </c>
    </row>
    <row r="7" spans="1:12" ht="17.399999999999999" customHeight="1" x14ac:dyDescent="0.35">
      <c r="A7" s="45">
        <v>64</v>
      </c>
      <c r="B7" s="85" t="s">
        <v>8</v>
      </c>
      <c r="C7" s="56">
        <v>46309</v>
      </c>
      <c r="D7" s="55">
        <v>1238264.4078947369</v>
      </c>
      <c r="E7" s="54" t="s">
        <v>83</v>
      </c>
      <c r="F7" s="56">
        <v>46309</v>
      </c>
      <c r="G7" s="55">
        <v>495305.76315789478</v>
      </c>
      <c r="H7" s="55">
        <v>0</v>
      </c>
      <c r="I7" s="55">
        <v>495305.76315789478</v>
      </c>
      <c r="J7" s="55">
        <v>495305.76315789478</v>
      </c>
      <c r="K7" s="57" t="s">
        <v>129</v>
      </c>
      <c r="L7" s="54" t="s">
        <v>108</v>
      </c>
    </row>
    <row r="8" spans="1:12" ht="17.399999999999999" customHeight="1" x14ac:dyDescent="0.35">
      <c r="A8" s="45">
        <v>67</v>
      </c>
      <c r="B8" s="85" t="s">
        <v>8</v>
      </c>
      <c r="C8" s="56">
        <v>46309</v>
      </c>
      <c r="D8" s="55">
        <v>538140.19736842101</v>
      </c>
      <c r="E8" s="54" t="s">
        <v>83</v>
      </c>
      <c r="F8" s="56">
        <v>46309</v>
      </c>
      <c r="G8" s="55">
        <v>215256.07894736843</v>
      </c>
      <c r="H8" s="55">
        <v>0</v>
      </c>
      <c r="I8" s="55">
        <v>215256.07894736843</v>
      </c>
      <c r="J8" s="55">
        <v>215256.07894736843</v>
      </c>
      <c r="K8" s="57" t="s">
        <v>129</v>
      </c>
      <c r="L8" s="54" t="s">
        <v>108</v>
      </c>
    </row>
    <row r="9" spans="1:12" ht="17.399999999999999" customHeight="1" x14ac:dyDescent="0.35">
      <c r="A9" s="48">
        <v>68</v>
      </c>
      <c r="B9" s="87" t="s">
        <v>11</v>
      </c>
      <c r="C9" s="56">
        <v>46309</v>
      </c>
      <c r="D9" s="55">
        <v>1164066</v>
      </c>
      <c r="E9" s="54" t="s">
        <v>83</v>
      </c>
      <c r="F9" s="56">
        <v>46309</v>
      </c>
      <c r="G9" s="55">
        <v>1164066</v>
      </c>
      <c r="H9" s="55">
        <v>210429</v>
      </c>
      <c r="I9" s="55">
        <v>953637</v>
      </c>
      <c r="J9" s="55">
        <v>953637</v>
      </c>
      <c r="K9" s="57" t="s">
        <v>129</v>
      </c>
      <c r="L9" s="54" t="s">
        <v>108</v>
      </c>
    </row>
    <row r="10" spans="1:12" ht="17.399999999999999" customHeight="1" x14ac:dyDescent="0.35">
      <c r="A10" s="45">
        <v>39</v>
      </c>
      <c r="B10" s="87" t="s">
        <v>38</v>
      </c>
      <c r="C10" s="56">
        <v>46250</v>
      </c>
      <c r="D10" s="55">
        <v>2017305</v>
      </c>
      <c r="E10" s="54" t="s">
        <v>82</v>
      </c>
      <c r="F10" s="56">
        <v>46310</v>
      </c>
      <c r="G10" s="55">
        <v>2017305</v>
      </c>
      <c r="H10" s="55">
        <v>2000000</v>
      </c>
      <c r="I10" s="55">
        <v>17305</v>
      </c>
      <c r="J10" s="55">
        <v>17305</v>
      </c>
      <c r="K10" s="57" t="s">
        <v>125</v>
      </c>
      <c r="L10" s="54" t="s">
        <v>108</v>
      </c>
    </row>
    <row r="11" spans="1:12" ht="17.399999999999999" customHeight="1" x14ac:dyDescent="0.35">
      <c r="A11" s="47">
        <v>69</v>
      </c>
      <c r="B11" s="85" t="s">
        <v>11</v>
      </c>
      <c r="C11" s="56">
        <v>46312</v>
      </c>
      <c r="D11" s="55">
        <v>1783434</v>
      </c>
      <c r="E11" s="54" t="s">
        <v>83</v>
      </c>
      <c r="F11" s="56">
        <v>46312</v>
      </c>
      <c r="G11" s="55">
        <v>1783434</v>
      </c>
      <c r="H11" s="55">
        <v>0</v>
      </c>
      <c r="I11" s="55">
        <v>1783434</v>
      </c>
      <c r="J11" s="55">
        <v>1783434</v>
      </c>
      <c r="K11" s="57" t="s">
        <v>144</v>
      </c>
      <c r="L11" s="54" t="s">
        <v>108</v>
      </c>
    </row>
    <row r="12" spans="1:12" ht="17.399999999999999" customHeight="1" x14ac:dyDescent="0.35">
      <c r="A12" s="47">
        <v>71</v>
      </c>
      <c r="B12" s="85" t="s">
        <v>11</v>
      </c>
      <c r="C12" s="56">
        <v>46313</v>
      </c>
      <c r="D12" s="55">
        <v>1156206</v>
      </c>
      <c r="E12" s="54" t="s">
        <v>83</v>
      </c>
      <c r="F12" s="56">
        <v>46313</v>
      </c>
      <c r="G12" s="55">
        <v>1156206</v>
      </c>
      <c r="H12" s="55">
        <v>0</v>
      </c>
      <c r="I12" s="55">
        <v>1156206</v>
      </c>
      <c r="J12" s="55">
        <v>1156206</v>
      </c>
      <c r="K12" s="57" t="s">
        <v>130</v>
      </c>
      <c r="L12" s="54" t="s">
        <v>108</v>
      </c>
    </row>
    <row r="13" spans="1:12" ht="17.399999999999999" customHeight="1" x14ac:dyDescent="0.35">
      <c r="A13" s="65">
        <v>72</v>
      </c>
      <c r="B13" s="84" t="s">
        <v>99</v>
      </c>
      <c r="C13" s="56">
        <v>46313</v>
      </c>
      <c r="D13" s="55">
        <v>3053830</v>
      </c>
      <c r="E13" s="54" t="s">
        <v>83</v>
      </c>
      <c r="F13" s="56">
        <v>46313</v>
      </c>
      <c r="G13" s="55">
        <v>1526915</v>
      </c>
      <c r="H13" s="55">
        <v>1500000</v>
      </c>
      <c r="I13" s="55">
        <v>26915</v>
      </c>
      <c r="J13" s="55">
        <v>26915</v>
      </c>
      <c r="K13" s="57" t="s">
        <v>130</v>
      </c>
      <c r="L13" s="54" t="s">
        <v>108</v>
      </c>
    </row>
    <row r="14" spans="1:12" ht="17.399999999999999" customHeight="1" x14ac:dyDescent="0.35">
      <c r="A14" s="45">
        <v>73</v>
      </c>
      <c r="B14" s="85" t="s">
        <v>8</v>
      </c>
      <c r="C14" s="56">
        <v>46314</v>
      </c>
      <c r="D14" s="55">
        <v>5926550.6491228072</v>
      </c>
      <c r="E14" s="54" t="s">
        <v>83</v>
      </c>
      <c r="F14" s="56">
        <v>46314</v>
      </c>
      <c r="G14" s="55">
        <v>2370620.2596491231</v>
      </c>
      <c r="H14" s="55">
        <v>0</v>
      </c>
      <c r="I14" s="55">
        <v>2370620.2596491231</v>
      </c>
      <c r="J14" s="55">
        <v>2370620.2596491231</v>
      </c>
      <c r="K14" s="57" t="s">
        <v>126</v>
      </c>
      <c r="L14" s="54" t="s">
        <v>108</v>
      </c>
    </row>
    <row r="15" spans="1:12" ht="17.399999999999999" customHeight="1" x14ac:dyDescent="0.35">
      <c r="A15" s="45" t="s">
        <v>30</v>
      </c>
      <c r="B15" s="85" t="s">
        <v>8</v>
      </c>
      <c r="C15" s="56">
        <v>46232</v>
      </c>
      <c r="D15" s="55">
        <v>7077431.6118421052</v>
      </c>
      <c r="E15" s="54" t="s">
        <v>86</v>
      </c>
      <c r="F15" s="56">
        <v>46315</v>
      </c>
      <c r="G15" s="55">
        <v>2359143.8706140351</v>
      </c>
      <c r="H15" s="55">
        <v>0</v>
      </c>
      <c r="I15" s="55">
        <v>2359143.8706140351</v>
      </c>
      <c r="J15" s="55">
        <v>2359143.8706140351</v>
      </c>
      <c r="K15" s="57" t="s">
        <v>109</v>
      </c>
      <c r="L15" s="54" t="s">
        <v>108</v>
      </c>
    </row>
    <row r="16" spans="1:12" ht="17.399999999999999" customHeight="1" x14ac:dyDescent="0.35">
      <c r="A16" s="48">
        <v>47</v>
      </c>
      <c r="B16" s="87" t="s">
        <v>11</v>
      </c>
      <c r="C16" s="56">
        <v>46284</v>
      </c>
      <c r="D16" s="55">
        <v>4577624</v>
      </c>
      <c r="E16" s="54" t="s">
        <v>82</v>
      </c>
      <c r="F16" s="56">
        <v>46315</v>
      </c>
      <c r="G16" s="55">
        <v>3433218</v>
      </c>
      <c r="H16" s="55">
        <v>0</v>
      </c>
      <c r="I16" s="55">
        <v>3433218</v>
      </c>
      <c r="J16" s="55">
        <v>3433218</v>
      </c>
      <c r="K16" s="57" t="s">
        <v>109</v>
      </c>
      <c r="L16" s="54" t="s">
        <v>108</v>
      </c>
    </row>
    <row r="17" spans="1:12" ht="17.399999999999999" customHeight="1" x14ac:dyDescent="0.35">
      <c r="A17" s="45">
        <v>31</v>
      </c>
      <c r="B17" s="85" t="s">
        <v>8</v>
      </c>
      <c r="C17" s="56">
        <v>46240</v>
      </c>
      <c r="D17" s="55">
        <v>20832933.25877193</v>
      </c>
      <c r="E17" s="54" t="s">
        <v>86</v>
      </c>
      <c r="F17" s="56">
        <v>46321</v>
      </c>
      <c r="G17" s="55">
        <v>6944311.0862573097</v>
      </c>
      <c r="H17" s="55">
        <v>0</v>
      </c>
      <c r="I17" s="55">
        <v>6944311.0862573097</v>
      </c>
      <c r="J17" s="55">
        <v>6944311.0862573097</v>
      </c>
      <c r="K17" s="57" t="s">
        <v>145</v>
      </c>
      <c r="L17" s="54" t="s">
        <v>108</v>
      </c>
    </row>
    <row r="18" spans="1:12" ht="17.399999999999999" customHeight="1" x14ac:dyDescent="0.35">
      <c r="A18" s="45">
        <v>37</v>
      </c>
      <c r="B18" s="85" t="s">
        <v>8</v>
      </c>
      <c r="C18" s="56">
        <v>46250</v>
      </c>
      <c r="D18" s="55">
        <v>8800606.5263157897</v>
      </c>
      <c r="E18" s="54" t="s">
        <v>86</v>
      </c>
      <c r="F18" s="56">
        <v>46321</v>
      </c>
      <c r="G18" s="55">
        <v>2933535.5087719299</v>
      </c>
      <c r="H18" s="55">
        <v>0</v>
      </c>
      <c r="I18" s="55">
        <v>2933535.5087719299</v>
      </c>
      <c r="J18" s="55">
        <v>2933535.5087719299</v>
      </c>
      <c r="K18" s="57" t="s">
        <v>145</v>
      </c>
      <c r="L18" s="54" t="s">
        <v>108</v>
      </c>
    </row>
    <row r="19" spans="1:12" ht="17.399999999999999" customHeight="1" x14ac:dyDescent="0.35">
      <c r="A19" s="45">
        <v>46</v>
      </c>
      <c r="B19" s="85" t="s">
        <v>8</v>
      </c>
      <c r="C19" s="56">
        <v>46281</v>
      </c>
      <c r="D19" s="55">
        <v>9846915.1578947362</v>
      </c>
      <c r="E19" s="54" t="s">
        <v>86</v>
      </c>
      <c r="F19" s="56">
        <v>46321</v>
      </c>
      <c r="G19" s="55">
        <v>3282305.0526315789</v>
      </c>
      <c r="H19" s="55">
        <v>0</v>
      </c>
      <c r="I19" s="55">
        <v>3282305.0526315789</v>
      </c>
      <c r="J19" s="55">
        <v>3282305.0526315789</v>
      </c>
      <c r="K19" s="57" t="s">
        <v>145</v>
      </c>
      <c r="L19" s="54" t="s">
        <v>108</v>
      </c>
    </row>
    <row r="20" spans="1:12" ht="17.399999999999999" customHeight="1" x14ac:dyDescent="0.35">
      <c r="A20" s="48">
        <v>51</v>
      </c>
      <c r="B20" s="87" t="s">
        <v>11</v>
      </c>
      <c r="C20" s="56">
        <v>46292</v>
      </c>
      <c r="D20" s="55">
        <v>4576040</v>
      </c>
      <c r="E20" s="54" t="s">
        <v>82</v>
      </c>
      <c r="F20" s="56">
        <v>46322</v>
      </c>
      <c r="G20" s="55">
        <v>2288020</v>
      </c>
      <c r="H20" s="55">
        <v>805700</v>
      </c>
      <c r="I20" s="55">
        <v>1482320</v>
      </c>
      <c r="J20" s="55">
        <v>1482320</v>
      </c>
      <c r="K20" s="57" t="s">
        <v>131</v>
      </c>
      <c r="L20" s="54" t="s">
        <v>108</v>
      </c>
    </row>
    <row r="21" spans="1:12" ht="17.399999999999999" customHeight="1" x14ac:dyDescent="0.35">
      <c r="A21" s="45">
        <v>52</v>
      </c>
      <c r="B21" s="64" t="s">
        <v>99</v>
      </c>
      <c r="C21" s="67">
        <v>46297</v>
      </c>
      <c r="D21" s="68">
        <v>5384800</v>
      </c>
      <c r="E21" s="70" t="s">
        <v>82</v>
      </c>
      <c r="F21" s="67">
        <v>46327</v>
      </c>
      <c r="G21" s="68">
        <v>2599999.9999999991</v>
      </c>
      <c r="H21" s="68">
        <v>0</v>
      </c>
      <c r="I21" s="68">
        <v>2599999.9999999991</v>
      </c>
      <c r="J21" s="68">
        <v>0</v>
      </c>
      <c r="K21" s="69"/>
      <c r="L21" s="66" t="s">
        <v>146</v>
      </c>
    </row>
    <row r="22" spans="1:12" ht="17.399999999999999" customHeight="1" x14ac:dyDescent="0.35">
      <c r="A22" s="42">
        <v>55</v>
      </c>
      <c r="B22" s="86" t="s">
        <v>99</v>
      </c>
      <c r="C22" s="56">
        <v>46301</v>
      </c>
      <c r="D22" s="55">
        <v>4791465</v>
      </c>
      <c r="E22" s="54" t="s">
        <v>82</v>
      </c>
      <c r="F22" s="56">
        <v>46331</v>
      </c>
      <c r="G22" s="55">
        <v>2395732.5</v>
      </c>
      <c r="H22" s="55">
        <v>0</v>
      </c>
      <c r="I22" s="55">
        <v>2395732.5</v>
      </c>
      <c r="J22" s="55">
        <v>0</v>
      </c>
      <c r="K22" s="57"/>
      <c r="L22" s="54" t="s">
        <v>132</v>
      </c>
    </row>
    <row r="23" spans="1:12" ht="17.399999999999999" customHeight="1" x14ac:dyDescent="0.35">
      <c r="A23" s="48">
        <v>62</v>
      </c>
      <c r="B23" s="85" t="s">
        <v>11</v>
      </c>
      <c r="C23" s="56">
        <v>46307</v>
      </c>
      <c r="D23" s="55">
        <v>3795800</v>
      </c>
      <c r="E23" s="54" t="s">
        <v>82</v>
      </c>
      <c r="F23" s="56">
        <v>46337</v>
      </c>
      <c r="G23" s="55">
        <v>2846850</v>
      </c>
      <c r="H23" s="55">
        <v>0</v>
      </c>
      <c r="I23" s="55">
        <v>2846850</v>
      </c>
      <c r="J23" s="55">
        <v>0</v>
      </c>
      <c r="K23" s="57"/>
      <c r="L23" s="54" t="s">
        <v>85</v>
      </c>
    </row>
    <row r="24" spans="1:12" ht="17.399999999999999" customHeight="1" x14ac:dyDescent="0.35">
      <c r="A24" s="48">
        <v>63</v>
      </c>
      <c r="B24" s="86" t="s">
        <v>11</v>
      </c>
      <c r="C24" s="56">
        <v>46308</v>
      </c>
      <c r="D24" s="55">
        <v>7171484</v>
      </c>
      <c r="E24" s="54" t="s">
        <v>82</v>
      </c>
      <c r="F24" s="56">
        <v>46338</v>
      </c>
      <c r="G24" s="55">
        <v>5378613</v>
      </c>
      <c r="H24" s="55">
        <v>0</v>
      </c>
      <c r="I24" s="55">
        <v>5378613</v>
      </c>
      <c r="J24" s="55">
        <v>0</v>
      </c>
      <c r="K24" s="57"/>
      <c r="L24" s="54" t="s">
        <v>85</v>
      </c>
    </row>
    <row r="25" spans="1:12" ht="17.399999999999999" customHeight="1" x14ac:dyDescent="0.35">
      <c r="A25" s="48">
        <v>64</v>
      </c>
      <c r="B25" s="85" t="s">
        <v>8</v>
      </c>
      <c r="C25" s="56">
        <v>46309</v>
      </c>
      <c r="D25" s="55">
        <v>1238264.4078947369</v>
      </c>
      <c r="E25" s="54" t="s">
        <v>82</v>
      </c>
      <c r="F25" s="56">
        <v>46340</v>
      </c>
      <c r="G25" s="55">
        <v>371479.32236842107</v>
      </c>
      <c r="H25" s="55">
        <v>0</v>
      </c>
      <c r="I25" s="55">
        <v>371479.32236842107</v>
      </c>
      <c r="J25" s="55">
        <v>0</v>
      </c>
      <c r="K25" s="57"/>
      <c r="L25" s="54" t="s">
        <v>85</v>
      </c>
    </row>
    <row r="26" spans="1:12" ht="17.399999999999999" customHeight="1" x14ac:dyDescent="0.35">
      <c r="A26" s="48">
        <v>67</v>
      </c>
      <c r="B26" s="85" t="s">
        <v>8</v>
      </c>
      <c r="C26" s="56">
        <v>46309</v>
      </c>
      <c r="D26" s="55">
        <v>538140.19736842101</v>
      </c>
      <c r="E26" s="54" t="s">
        <v>82</v>
      </c>
      <c r="F26" s="56">
        <v>46340</v>
      </c>
      <c r="G26" s="55">
        <v>161442.05921052629</v>
      </c>
      <c r="H26" s="55">
        <v>0</v>
      </c>
      <c r="I26" s="55">
        <v>161442.05921052629</v>
      </c>
      <c r="J26" s="55">
        <v>0</v>
      </c>
      <c r="K26" s="57"/>
      <c r="L26" s="54" t="s">
        <v>85</v>
      </c>
    </row>
    <row r="27" spans="1:12" ht="17.399999999999999" customHeight="1" x14ac:dyDescent="0.35">
      <c r="A27" s="48">
        <v>72</v>
      </c>
      <c r="B27" s="84" t="s">
        <v>99</v>
      </c>
      <c r="C27" s="56">
        <v>46313</v>
      </c>
      <c r="D27" s="55">
        <v>3053830</v>
      </c>
      <c r="E27" s="54" t="s">
        <v>82</v>
      </c>
      <c r="F27" s="56">
        <v>46344</v>
      </c>
      <c r="G27" s="55">
        <v>1526915</v>
      </c>
      <c r="H27" s="55">
        <v>0</v>
      </c>
      <c r="I27" s="55">
        <v>1526915</v>
      </c>
      <c r="J27" s="55">
        <v>0</v>
      </c>
      <c r="K27" s="57"/>
      <c r="L27" s="54" t="s">
        <v>85</v>
      </c>
    </row>
    <row r="28" spans="1:12" ht="17.399999999999999" customHeight="1" x14ac:dyDescent="0.35">
      <c r="A28" s="48">
        <v>73</v>
      </c>
      <c r="B28" s="85" t="s">
        <v>8</v>
      </c>
      <c r="C28" s="56">
        <v>46314</v>
      </c>
      <c r="D28" s="55">
        <v>5926550.6491228072</v>
      </c>
      <c r="E28" s="54" t="s">
        <v>82</v>
      </c>
      <c r="F28" s="56">
        <v>46345</v>
      </c>
      <c r="G28" s="55">
        <v>1777965.1947368421</v>
      </c>
      <c r="H28" s="55">
        <v>0</v>
      </c>
      <c r="I28" s="55">
        <v>1777965.1947368421</v>
      </c>
      <c r="J28" s="55">
        <v>0</v>
      </c>
      <c r="K28" s="57"/>
      <c r="L28" s="54" t="s">
        <v>85</v>
      </c>
    </row>
    <row r="29" spans="1:12" ht="17.399999999999999" customHeight="1" x14ac:dyDescent="0.35">
      <c r="A29" s="48">
        <v>49</v>
      </c>
      <c r="B29" s="70" t="s">
        <v>38</v>
      </c>
      <c r="C29" s="56">
        <v>46286</v>
      </c>
      <c r="D29" s="55">
        <v>1923110</v>
      </c>
      <c r="E29" s="54" t="s">
        <v>82</v>
      </c>
      <c r="F29" s="56">
        <v>46346</v>
      </c>
      <c r="G29" s="55">
        <v>1923110</v>
      </c>
      <c r="H29" s="55">
        <v>0</v>
      </c>
      <c r="I29" s="55">
        <v>1923110</v>
      </c>
      <c r="J29" s="55">
        <v>0</v>
      </c>
      <c r="K29" s="57"/>
      <c r="L29" s="54" t="s">
        <v>85</v>
      </c>
    </row>
    <row r="30" spans="1:12" ht="17.399999999999999" customHeight="1" x14ac:dyDescent="0.35">
      <c r="A30" s="48">
        <v>57</v>
      </c>
      <c r="B30" s="85" t="s">
        <v>8</v>
      </c>
      <c r="C30" s="56">
        <v>46304</v>
      </c>
      <c r="D30" s="55">
        <v>12289987.052631579</v>
      </c>
      <c r="E30" s="54" t="s">
        <v>82</v>
      </c>
      <c r="F30" s="56">
        <v>46349</v>
      </c>
      <c r="G30" s="55">
        <v>3686996.1157894735</v>
      </c>
      <c r="H30" s="55">
        <v>0</v>
      </c>
      <c r="I30" s="55">
        <v>3686996.1157894735</v>
      </c>
      <c r="J30" s="55">
        <v>0</v>
      </c>
      <c r="K30" s="57"/>
      <c r="L30" s="54" t="s">
        <v>85</v>
      </c>
    </row>
    <row r="31" spans="1:12" ht="17.399999999999999" customHeight="1" x14ac:dyDescent="0.35">
      <c r="A31" s="48">
        <v>51</v>
      </c>
      <c r="B31" s="84" t="s">
        <v>11</v>
      </c>
      <c r="C31" s="56">
        <v>46292</v>
      </c>
      <c r="D31" s="55">
        <v>4576040</v>
      </c>
      <c r="E31" s="54" t="s">
        <v>84</v>
      </c>
      <c r="F31" s="56">
        <v>46353</v>
      </c>
      <c r="G31" s="55">
        <v>2288020</v>
      </c>
      <c r="H31" s="55">
        <v>0</v>
      </c>
      <c r="I31" s="55">
        <v>2288020</v>
      </c>
      <c r="J31" s="55">
        <v>0</v>
      </c>
      <c r="K31" s="57"/>
      <c r="L31" s="54" t="s">
        <v>85</v>
      </c>
    </row>
    <row r="32" spans="1:12" ht="17.399999999999999" customHeight="1" x14ac:dyDescent="0.35">
      <c r="A32" s="45">
        <v>64</v>
      </c>
      <c r="B32" s="85" t="s">
        <v>8</v>
      </c>
      <c r="C32" s="56">
        <v>46309</v>
      </c>
      <c r="D32" s="55">
        <v>1238264.4078947369</v>
      </c>
      <c r="E32" s="54" t="s">
        <v>84</v>
      </c>
      <c r="F32" s="56">
        <v>46370</v>
      </c>
      <c r="G32" s="55">
        <v>371479.32236842107</v>
      </c>
      <c r="H32" s="55">
        <v>0</v>
      </c>
      <c r="I32" s="55">
        <v>371479.32236842107</v>
      </c>
      <c r="J32" s="55">
        <v>0</v>
      </c>
      <c r="K32" s="57"/>
      <c r="L32" s="54" t="s">
        <v>85</v>
      </c>
    </row>
    <row r="33" spans="1:12" ht="17.399999999999999" customHeight="1" x14ac:dyDescent="0.35">
      <c r="A33" s="45">
        <v>67</v>
      </c>
      <c r="B33" s="85" t="s">
        <v>8</v>
      </c>
      <c r="C33" s="56">
        <v>46309</v>
      </c>
      <c r="D33" s="55">
        <v>538140.19736842101</v>
      </c>
      <c r="E33" s="54" t="s">
        <v>84</v>
      </c>
      <c r="F33" s="56">
        <v>46370</v>
      </c>
      <c r="G33" s="55">
        <v>161442.05921052629</v>
      </c>
      <c r="H33" s="55">
        <v>0</v>
      </c>
      <c r="I33" s="55">
        <v>161442.05921052629</v>
      </c>
      <c r="J33" s="55">
        <v>0</v>
      </c>
      <c r="K33" s="57"/>
      <c r="L33" s="54" t="s">
        <v>85</v>
      </c>
    </row>
    <row r="34" spans="1:12" ht="17.399999999999999" customHeight="1" x14ac:dyDescent="0.35">
      <c r="A34" s="42">
        <v>70</v>
      </c>
      <c r="B34" s="70" t="s">
        <v>100</v>
      </c>
      <c r="C34" s="56">
        <v>46310</v>
      </c>
      <c r="D34" s="55">
        <v>2083350</v>
      </c>
      <c r="E34" s="54" t="s">
        <v>82</v>
      </c>
      <c r="F34" s="56">
        <v>46370</v>
      </c>
      <c r="G34" s="55">
        <v>2083350</v>
      </c>
      <c r="H34" s="55">
        <v>0</v>
      </c>
      <c r="I34" s="55">
        <v>2083350</v>
      </c>
      <c r="J34" s="55">
        <v>0</v>
      </c>
      <c r="K34" s="57"/>
      <c r="L34" s="54" t="s">
        <v>85</v>
      </c>
    </row>
    <row r="35" spans="1:12" ht="17.399999999999999" customHeight="1" x14ac:dyDescent="0.35">
      <c r="A35" s="45">
        <v>73</v>
      </c>
      <c r="B35" s="85" t="s">
        <v>8</v>
      </c>
      <c r="C35" s="56">
        <v>46314</v>
      </c>
      <c r="D35" s="55">
        <v>5926550.6491228072</v>
      </c>
      <c r="E35" s="54" t="s">
        <v>84</v>
      </c>
      <c r="F35" s="56">
        <v>46375</v>
      </c>
      <c r="G35" s="55">
        <v>1777965.1947368421</v>
      </c>
      <c r="H35" s="55">
        <v>0</v>
      </c>
      <c r="I35" s="55">
        <v>1777965.1947368421</v>
      </c>
      <c r="J35" s="55">
        <v>0</v>
      </c>
      <c r="K35" s="57"/>
      <c r="L35" s="54" t="s">
        <v>85</v>
      </c>
    </row>
    <row r="36" spans="1:12" ht="17.399999999999999" customHeight="1" x14ac:dyDescent="0.35">
      <c r="A36" s="45">
        <v>57</v>
      </c>
      <c r="B36" s="85" t="s">
        <v>8</v>
      </c>
      <c r="C36" s="56">
        <v>46304</v>
      </c>
      <c r="D36" s="55">
        <v>12289987.052631579</v>
      </c>
      <c r="E36" s="54" t="s">
        <v>84</v>
      </c>
      <c r="F36" s="56">
        <v>46379</v>
      </c>
      <c r="G36" s="55">
        <v>3686996.1157894735</v>
      </c>
      <c r="H36" s="55">
        <v>0</v>
      </c>
      <c r="I36" s="55">
        <v>3686996.1157894735</v>
      </c>
      <c r="J36" s="55">
        <v>0</v>
      </c>
      <c r="K36" s="57"/>
      <c r="L36" s="54" t="s">
        <v>85</v>
      </c>
    </row>
    <row r="37" spans="1:12" ht="17.399999999999999" customHeight="1" x14ac:dyDescent="0.3"/>
    <row r="38" spans="1:12" ht="17.399999999999999" customHeight="1" x14ac:dyDescent="0.3"/>
    <row r="39" spans="1:12" ht="17.399999999999999" customHeight="1" x14ac:dyDescent="0.3"/>
    <row r="40" spans="1:12" ht="14.4" customHeight="1" x14ac:dyDescent="0.3"/>
    <row r="41" spans="1:12" ht="14.4" customHeight="1" x14ac:dyDescent="0.3"/>
    <row r="42" spans="1:12" ht="14.4" customHeight="1" x14ac:dyDescent="0.3"/>
    <row r="43" spans="1:12" ht="14.4" customHeight="1" x14ac:dyDescent="0.3"/>
    <row r="44" spans="1:12" ht="14.4" customHeight="1" x14ac:dyDescent="0.3"/>
    <row r="45" spans="1:12" ht="14.4" customHeight="1" x14ac:dyDescent="0.3"/>
    <row r="46" spans="1:12" ht="14.4" customHeight="1" x14ac:dyDescent="0.3"/>
    <row r="47" spans="1:12" ht="14.4" customHeight="1" x14ac:dyDescent="0.3"/>
    <row r="48" spans="1:12" ht="14.4" customHeight="1" x14ac:dyDescent="0.3"/>
    <row r="49" customFormat="1" ht="14.4" customHeight="1" x14ac:dyDescent="0.3"/>
    <row r="50" customFormat="1" ht="14.4" customHeight="1" x14ac:dyDescent="0.3"/>
    <row r="51" customFormat="1" ht="14.4" customHeight="1" x14ac:dyDescent="0.3"/>
    <row r="52" customFormat="1" ht="14.4" customHeight="1" x14ac:dyDescent="0.3"/>
    <row r="53" customFormat="1" ht="14.4" customHeight="1" x14ac:dyDescent="0.3"/>
    <row r="54" customFormat="1" ht="14.4" customHeight="1" x14ac:dyDescent="0.3"/>
    <row r="55" customFormat="1" ht="14.4" customHeight="1" x14ac:dyDescent="0.3"/>
    <row r="56" customFormat="1" ht="14.4" customHeight="1" x14ac:dyDescent="0.3"/>
    <row r="177" customFormat="1" ht="14.4" customHeight="1" x14ac:dyDescent="0.3"/>
    <row r="178" customFormat="1" ht="14.4" customHeight="1" x14ac:dyDescent="0.3"/>
    <row r="179" customFormat="1" ht="14.4" customHeight="1" x14ac:dyDescent="0.3"/>
    <row r="180" customFormat="1" ht="14.4" customHeight="1" x14ac:dyDescent="0.3"/>
    <row r="181" customFormat="1" ht="14.4" customHeight="1" x14ac:dyDescent="0.3"/>
    <row r="182" customFormat="1" ht="14.4" customHeight="1" x14ac:dyDescent="0.3"/>
    <row r="183" customFormat="1" ht="14.4" customHeight="1" x14ac:dyDescent="0.3"/>
    <row r="184" customFormat="1" ht="14.4" customHeight="1" x14ac:dyDescent="0.3"/>
    <row r="185" customFormat="1" ht="14.4" customHeight="1" x14ac:dyDescent="0.3"/>
    <row r="186" customFormat="1" ht="14.4" customHeight="1" x14ac:dyDescent="0.3"/>
    <row r="187" customFormat="1" ht="14.4" customHeight="1" x14ac:dyDescent="0.3"/>
    <row r="188" customFormat="1" ht="14.4" customHeight="1" x14ac:dyDescent="0.3"/>
    <row r="189" customFormat="1" ht="14.4" customHeight="1" x14ac:dyDescent="0.3"/>
    <row r="190" customFormat="1" ht="14.4" customHeight="1" x14ac:dyDescent="0.3"/>
    <row r="191" customFormat="1" ht="14.4" customHeight="1" x14ac:dyDescent="0.3"/>
    <row r="192" customFormat="1" ht="14.4" customHeight="1" x14ac:dyDescent="0.3"/>
    <row r="193" customFormat="1" ht="14.4" customHeight="1" x14ac:dyDescent="0.3"/>
    <row r="194" customFormat="1" ht="14.4" customHeight="1" x14ac:dyDescent="0.3"/>
    <row r="195" customFormat="1" ht="14.4" customHeight="1" x14ac:dyDescent="0.3"/>
    <row r="196" customFormat="1" ht="14.4" customHeight="1" x14ac:dyDescent="0.3"/>
    <row r="197" customFormat="1" ht="14.4" customHeight="1" x14ac:dyDescent="0.3"/>
    <row r="198" customFormat="1" ht="14.4" customHeight="1" x14ac:dyDescent="0.3"/>
    <row r="199" customFormat="1" ht="14.4" customHeight="1" x14ac:dyDescent="0.3"/>
    <row r="200" customFormat="1" ht="14.4" customHeight="1" x14ac:dyDescent="0.3"/>
    <row r="201" customFormat="1" ht="14.4" customHeight="1" x14ac:dyDescent="0.3"/>
    <row r="202" customFormat="1" ht="14.4" customHeight="1" x14ac:dyDescent="0.3"/>
    <row r="203" customFormat="1" ht="14.4" customHeight="1" x14ac:dyDescent="0.3"/>
    <row r="204" customFormat="1" ht="14.4" customHeight="1" x14ac:dyDescent="0.3"/>
    <row r="205" customFormat="1" ht="14.4" customHeight="1" x14ac:dyDescent="0.3"/>
    <row r="206" customFormat="1" ht="14.4" customHeight="1" x14ac:dyDescent="0.3"/>
    <row r="207" customFormat="1" ht="14.4" customHeight="1" x14ac:dyDescent="0.3"/>
    <row r="208" customFormat="1" ht="14.4" customHeight="1" x14ac:dyDescent="0.3"/>
    <row r="209" customFormat="1" ht="14.4" customHeight="1" x14ac:dyDescent="0.3"/>
    <row r="210" customFormat="1" ht="14.4" customHeight="1" x14ac:dyDescent="0.3"/>
    <row r="211" customFormat="1" ht="14.4" customHeight="1" x14ac:dyDescent="0.3"/>
    <row r="212" customFormat="1" ht="14.4" customHeight="1" x14ac:dyDescent="0.3"/>
    <row r="213" customFormat="1" ht="14.4" customHeight="1" x14ac:dyDescent="0.3"/>
    <row r="214" customFormat="1" ht="14.4" customHeight="1" x14ac:dyDescent="0.3"/>
    <row r="215" customFormat="1" ht="14.4" customHeight="1" x14ac:dyDescent="0.3"/>
    <row r="216" customFormat="1" ht="14.4" customHeight="1" x14ac:dyDescent="0.3"/>
    <row r="217" customFormat="1" ht="14.4" customHeight="1" x14ac:dyDescent="0.3"/>
    <row r="218" customFormat="1" ht="14.4" customHeight="1" x14ac:dyDescent="0.3"/>
    <row r="219" customFormat="1" ht="14.4" customHeight="1" x14ac:dyDescent="0.3"/>
    <row r="220" customFormat="1" ht="14.4" customHeight="1" x14ac:dyDescent="0.3"/>
    <row r="221" customFormat="1" ht="14.4" customHeight="1" x14ac:dyDescent="0.3"/>
    <row r="222" customFormat="1" ht="14.4" customHeight="1" x14ac:dyDescent="0.3"/>
    <row r="223" customFormat="1" ht="14.4" customHeight="1" x14ac:dyDescent="0.3"/>
    <row r="224" customFormat="1" ht="14.4" customHeight="1" x14ac:dyDescent="0.3"/>
    <row r="225" customFormat="1" ht="14.4" customHeight="1" x14ac:dyDescent="0.3"/>
    <row r="226" customFormat="1" ht="14.4" customHeight="1" x14ac:dyDescent="0.3"/>
    <row r="227" customFormat="1" ht="14.4" customHeight="1" x14ac:dyDescent="0.3"/>
    <row r="228" customFormat="1" ht="14.4" customHeight="1" x14ac:dyDescent="0.3"/>
    <row r="229" customFormat="1" ht="14.4" customHeight="1" x14ac:dyDescent="0.3"/>
    <row r="230" customFormat="1" ht="14.4" customHeight="1" x14ac:dyDescent="0.3"/>
    <row r="231" customFormat="1" ht="14.4" customHeight="1" x14ac:dyDescent="0.3"/>
    <row r="232" customFormat="1" ht="14.4" customHeight="1" x14ac:dyDescent="0.3"/>
    <row r="233" customFormat="1" ht="14.4" customHeight="1" x14ac:dyDescent="0.3"/>
    <row r="234" customFormat="1" ht="14.4" customHeight="1" x14ac:dyDescent="0.3"/>
    <row r="235" customFormat="1" ht="14.4" customHeight="1" x14ac:dyDescent="0.3"/>
    <row r="236" customFormat="1" ht="14.4" customHeight="1" x14ac:dyDescent="0.3"/>
    <row r="237" customFormat="1" ht="14.4" customHeight="1" x14ac:dyDescent="0.3"/>
    <row r="238" customFormat="1" ht="14.4" customHeight="1" x14ac:dyDescent="0.3"/>
    <row r="239" customFormat="1" ht="14.4" customHeight="1" x14ac:dyDescent="0.3"/>
    <row r="240" customFormat="1" ht="14.4" customHeight="1" x14ac:dyDescent="0.3"/>
    <row r="241" customFormat="1" ht="14.4" customHeight="1" x14ac:dyDescent="0.3"/>
    <row r="242" customFormat="1" ht="14.4" customHeight="1" x14ac:dyDescent="0.3"/>
    <row r="243" customFormat="1" ht="14.4" customHeight="1" x14ac:dyDescent="0.3"/>
    <row r="244" customFormat="1" ht="14.4" customHeight="1" x14ac:dyDescent="0.3"/>
    <row r="245" customFormat="1" ht="14.4" customHeight="1" x14ac:dyDescent="0.3"/>
    <row r="246" customFormat="1" ht="14.4" customHeight="1" x14ac:dyDescent="0.3"/>
    <row r="247" customFormat="1" ht="14.4" customHeight="1" x14ac:dyDescent="0.3"/>
    <row r="248" customFormat="1" ht="14.4" customHeight="1" x14ac:dyDescent="0.3"/>
    <row r="249" customFormat="1" ht="14.4" customHeight="1" x14ac:dyDescent="0.3"/>
    <row r="250" customFormat="1" ht="14.4" customHeight="1" x14ac:dyDescent="0.3"/>
    <row r="251" customFormat="1" ht="14.4" customHeight="1" x14ac:dyDescent="0.3"/>
    <row r="252" customFormat="1" ht="14.4" customHeight="1" x14ac:dyDescent="0.3"/>
    <row r="253" customFormat="1" ht="14.4" customHeight="1" x14ac:dyDescent="0.3"/>
    <row r="254" customFormat="1" ht="14.4" customHeight="1" x14ac:dyDescent="0.3"/>
    <row r="255" customFormat="1" ht="14.4" customHeight="1" x14ac:dyDescent="0.3"/>
    <row r="256" customFormat="1" ht="14.4" customHeight="1" x14ac:dyDescent="0.3"/>
    <row r="257" customFormat="1" ht="14.4" customHeight="1" x14ac:dyDescent="0.3"/>
    <row r="258" customFormat="1" ht="14.4" customHeight="1" x14ac:dyDescent="0.3"/>
    <row r="259" customFormat="1" ht="14.4" customHeight="1" x14ac:dyDescent="0.3"/>
    <row r="260" customFormat="1" ht="14.4" customHeight="1" x14ac:dyDescent="0.3"/>
    <row r="261" customFormat="1" ht="14.4" customHeight="1" x14ac:dyDescent="0.3"/>
    <row r="262" customFormat="1" ht="14.4" customHeight="1" x14ac:dyDescent="0.3"/>
    <row r="263" customFormat="1" ht="14.4" customHeight="1" x14ac:dyDescent="0.3"/>
    <row r="264" customFormat="1" ht="14.4" customHeight="1" x14ac:dyDescent="0.3"/>
    <row r="265" customFormat="1" ht="14.4" customHeight="1" x14ac:dyDescent="0.3"/>
    <row r="266" customFormat="1" ht="14.4" customHeight="1" x14ac:dyDescent="0.3"/>
    <row r="267" customFormat="1" ht="14.4" customHeight="1" x14ac:dyDescent="0.3"/>
    <row r="268" customFormat="1" ht="14.4" customHeight="1" x14ac:dyDescent="0.3"/>
    <row r="269" customFormat="1" ht="14.4" customHeight="1" x14ac:dyDescent="0.3"/>
    <row r="270" customFormat="1" ht="14.4" customHeight="1" x14ac:dyDescent="0.3"/>
    <row r="271" customFormat="1" ht="14.4" customHeight="1" x14ac:dyDescent="0.3"/>
    <row r="272" customFormat="1" ht="14.4" customHeight="1" x14ac:dyDescent="0.3"/>
    <row r="273" customFormat="1" ht="14.4" customHeight="1" x14ac:dyDescent="0.3"/>
    <row r="274" customFormat="1" ht="14.4" customHeight="1" x14ac:dyDescent="0.3"/>
    <row r="275" customFormat="1" ht="14.4" customHeight="1" x14ac:dyDescent="0.3"/>
    <row r="276" customFormat="1" ht="14.4" customHeight="1" x14ac:dyDescent="0.3"/>
    <row r="277" customFormat="1" ht="14.4" customHeight="1" x14ac:dyDescent="0.3"/>
    <row r="278" customFormat="1" ht="14.4" customHeight="1" x14ac:dyDescent="0.3"/>
    <row r="279" customFormat="1" ht="14.4" customHeight="1" x14ac:dyDescent="0.3"/>
    <row r="280" customFormat="1" ht="14.4" customHeight="1" x14ac:dyDescent="0.3"/>
    <row r="281" customFormat="1" ht="14.4" customHeight="1" x14ac:dyDescent="0.3"/>
    <row r="282" customFormat="1" ht="14.4" customHeight="1" x14ac:dyDescent="0.3"/>
    <row r="283" customFormat="1" ht="14.4" customHeight="1" x14ac:dyDescent="0.3"/>
    <row r="284" customFormat="1" ht="14.4" customHeight="1" x14ac:dyDescent="0.3"/>
    <row r="285" customFormat="1" ht="14.4" customHeight="1" x14ac:dyDescent="0.3"/>
    <row r="286" customFormat="1" ht="14.4" customHeight="1" x14ac:dyDescent="0.3"/>
    <row r="287" customFormat="1" ht="14.4" customHeight="1" x14ac:dyDescent="0.3"/>
    <row r="288" customFormat="1" ht="14.4" customHeight="1" x14ac:dyDescent="0.3"/>
    <row r="289" customFormat="1" ht="14.4" customHeight="1" x14ac:dyDescent="0.3"/>
    <row r="290" customFormat="1" ht="14.4" customHeight="1" x14ac:dyDescent="0.3"/>
    <row r="291" customFormat="1" ht="14.4" customHeight="1" x14ac:dyDescent="0.3"/>
    <row r="292" customFormat="1" ht="14.4" customHeight="1" x14ac:dyDescent="0.3"/>
    <row r="293" customFormat="1" ht="14.4" customHeight="1" x14ac:dyDescent="0.3"/>
    <row r="294" customFormat="1" ht="14.4" customHeight="1" x14ac:dyDescent="0.3"/>
    <row r="295" customFormat="1" ht="14.4" customHeight="1" x14ac:dyDescent="0.3"/>
    <row r="296" customFormat="1" ht="14.4" customHeight="1" x14ac:dyDescent="0.3"/>
    <row r="297" customFormat="1" ht="14.4" customHeight="1" x14ac:dyDescent="0.3"/>
    <row r="298" customFormat="1" ht="14.4" customHeight="1" x14ac:dyDescent="0.3"/>
    <row r="299" customFormat="1" ht="14.4" customHeight="1" x14ac:dyDescent="0.3"/>
    <row r="300" customFormat="1" ht="14.4" customHeight="1" x14ac:dyDescent="0.3"/>
    <row r="301" customFormat="1" ht="14.4" customHeight="1" x14ac:dyDescent="0.3"/>
    <row r="302" customFormat="1" ht="14.4" customHeight="1" x14ac:dyDescent="0.3"/>
    <row r="303" customFormat="1" ht="14.4" customHeight="1" x14ac:dyDescent="0.3"/>
    <row r="304" customFormat="1" ht="14.4" customHeight="1" x14ac:dyDescent="0.3"/>
    <row r="305" customFormat="1" ht="14.4" customHeight="1" x14ac:dyDescent="0.3"/>
    <row r="306" customFormat="1" ht="14.4" customHeight="1" x14ac:dyDescent="0.3"/>
    <row r="307" customFormat="1" ht="14.4" customHeight="1" x14ac:dyDescent="0.3"/>
    <row r="308" customFormat="1" ht="14.4" customHeight="1" x14ac:dyDescent="0.3"/>
    <row r="309" customFormat="1" ht="14.4" customHeight="1" x14ac:dyDescent="0.3"/>
    <row r="310" customFormat="1" ht="14.4" customHeight="1" x14ac:dyDescent="0.3"/>
    <row r="311" customFormat="1" ht="14.4" customHeight="1" x14ac:dyDescent="0.3"/>
    <row r="312" customFormat="1" ht="14.4" customHeight="1" x14ac:dyDescent="0.3"/>
    <row r="313" customFormat="1" ht="14.4" customHeight="1" x14ac:dyDescent="0.3"/>
    <row r="314" customFormat="1" ht="14.4" customHeight="1" x14ac:dyDescent="0.3"/>
    <row r="315" customFormat="1" ht="14.4" customHeight="1" x14ac:dyDescent="0.3"/>
    <row r="316" customFormat="1" ht="14.4" customHeight="1" x14ac:dyDescent="0.3"/>
    <row r="317" customFormat="1" ht="14.4" customHeight="1" x14ac:dyDescent="0.3"/>
    <row r="318" customFormat="1" ht="14.4" customHeight="1" x14ac:dyDescent="0.3"/>
    <row r="319" customFormat="1" ht="14.4" customHeight="1" x14ac:dyDescent="0.3"/>
    <row r="320" customFormat="1" ht="14.4" customHeight="1" x14ac:dyDescent="0.3"/>
    <row r="321" customFormat="1" ht="14.4" customHeight="1" x14ac:dyDescent="0.3"/>
    <row r="322" customFormat="1" ht="14.4" customHeight="1" x14ac:dyDescent="0.3"/>
    <row r="323" customFormat="1" ht="14.4" customHeight="1" x14ac:dyDescent="0.3"/>
    <row r="324" customFormat="1" ht="14.4" customHeight="1" x14ac:dyDescent="0.3"/>
    <row r="325" customFormat="1" ht="14.4" customHeight="1" x14ac:dyDescent="0.3"/>
    <row r="326" customFormat="1" ht="14.4" customHeight="1" x14ac:dyDescent="0.3"/>
    <row r="327" customFormat="1" ht="14.4" customHeight="1" x14ac:dyDescent="0.3"/>
    <row r="328" customFormat="1" ht="14.4" customHeight="1" x14ac:dyDescent="0.3"/>
    <row r="329" customFormat="1" ht="14.4" customHeight="1" x14ac:dyDescent="0.3"/>
    <row r="330" customFormat="1" ht="14.4" customHeight="1" x14ac:dyDescent="0.3"/>
    <row r="331" customFormat="1" ht="14.4" customHeight="1" x14ac:dyDescent="0.3"/>
    <row r="332" customFormat="1" ht="14.4" customHeight="1" x14ac:dyDescent="0.3"/>
    <row r="333" customFormat="1" ht="14.4" customHeight="1" x14ac:dyDescent="0.3"/>
    <row r="334" customFormat="1" ht="14.4" customHeight="1" x14ac:dyDescent="0.3"/>
    <row r="335" customFormat="1" ht="14.4" customHeight="1" x14ac:dyDescent="0.3"/>
    <row r="336" customFormat="1" ht="14.4" customHeight="1" x14ac:dyDescent="0.3"/>
    <row r="337" customFormat="1" ht="14.4" customHeight="1" x14ac:dyDescent="0.3"/>
    <row r="338" customFormat="1" ht="14.4" customHeight="1" x14ac:dyDescent="0.3"/>
    <row r="339" customFormat="1" ht="14.4" customHeight="1" x14ac:dyDescent="0.3"/>
    <row r="340" customFormat="1" ht="14.4" customHeight="1" x14ac:dyDescent="0.3"/>
    <row r="341" customFormat="1" ht="14.4" customHeight="1" x14ac:dyDescent="0.3"/>
    <row r="342" customFormat="1" ht="14.4" customHeight="1" x14ac:dyDescent="0.3"/>
    <row r="343" customFormat="1" ht="14.4" customHeight="1" x14ac:dyDescent="0.3"/>
    <row r="344" customFormat="1" ht="14.4" customHeight="1" x14ac:dyDescent="0.3"/>
    <row r="345" customFormat="1" ht="14.4" customHeight="1" x14ac:dyDescent="0.3"/>
    <row r="346" customFormat="1" ht="14.4" customHeight="1" x14ac:dyDescent="0.3"/>
    <row r="347" customFormat="1" ht="14.4" customHeight="1" x14ac:dyDescent="0.3"/>
    <row r="348" customFormat="1" ht="14.4" customHeight="1" x14ac:dyDescent="0.3"/>
    <row r="349" customFormat="1" ht="14.4" customHeight="1" x14ac:dyDescent="0.3"/>
    <row r="350" customFormat="1" ht="14.4" customHeight="1" x14ac:dyDescent="0.3"/>
    <row r="351" customFormat="1" ht="14.4" customHeight="1" x14ac:dyDescent="0.3"/>
    <row r="352" customFormat="1" ht="14.4" customHeight="1" x14ac:dyDescent="0.3"/>
    <row r="353" customFormat="1" ht="14.4" customHeight="1" x14ac:dyDescent="0.3"/>
    <row r="354" customFormat="1" ht="14.4" customHeight="1" x14ac:dyDescent="0.3"/>
    <row r="355" customFormat="1" ht="14.4" customHeight="1" x14ac:dyDescent="0.3"/>
    <row r="356" customFormat="1" ht="14.4" customHeight="1" x14ac:dyDescent="0.3"/>
    <row r="357" customFormat="1" ht="14.4" customHeight="1" x14ac:dyDescent="0.3"/>
    <row r="358" customFormat="1" ht="14.4" customHeight="1" x14ac:dyDescent="0.3"/>
    <row r="359" customFormat="1" ht="14.4" customHeight="1" x14ac:dyDescent="0.3"/>
    <row r="360" customFormat="1" ht="14.4" customHeight="1" x14ac:dyDescent="0.3"/>
    <row r="361" customFormat="1" ht="14.4" customHeight="1" x14ac:dyDescent="0.3"/>
    <row r="362" customFormat="1" ht="14.4" customHeight="1" x14ac:dyDescent="0.3"/>
    <row r="363" customFormat="1" ht="14.4" customHeight="1" x14ac:dyDescent="0.3"/>
    <row r="364" customFormat="1" ht="14.4" customHeight="1" x14ac:dyDescent="0.3"/>
    <row r="365" customFormat="1" ht="14.4" customHeight="1" x14ac:dyDescent="0.3"/>
    <row r="366" customFormat="1" ht="14.4" customHeight="1" x14ac:dyDescent="0.3"/>
    <row r="367" customFormat="1" ht="14.4" customHeight="1" x14ac:dyDescent="0.3"/>
    <row r="368" customFormat="1" ht="14.4" customHeight="1" x14ac:dyDescent="0.3"/>
    <row r="369" customFormat="1" ht="14.4" customHeight="1" x14ac:dyDescent="0.3"/>
    <row r="370" customFormat="1" ht="14.4" customHeight="1" x14ac:dyDescent="0.3"/>
    <row r="371" customFormat="1" ht="14.4" customHeight="1" x14ac:dyDescent="0.3"/>
    <row r="372" customFormat="1" ht="14.4" customHeight="1" x14ac:dyDescent="0.3"/>
    <row r="373" customFormat="1" ht="14.4" customHeight="1" x14ac:dyDescent="0.3"/>
    <row r="374" customFormat="1" ht="14.4" customHeight="1" x14ac:dyDescent="0.3"/>
    <row r="375" customFormat="1" ht="14.4" customHeight="1" x14ac:dyDescent="0.3"/>
    <row r="376" customFormat="1" ht="14.4" customHeight="1" x14ac:dyDescent="0.3"/>
    <row r="377" customFormat="1" ht="14.4" customHeight="1" x14ac:dyDescent="0.3"/>
    <row r="378" customFormat="1" ht="14.4" customHeight="1" x14ac:dyDescent="0.3"/>
    <row r="379" customFormat="1" ht="14.4" customHeight="1" x14ac:dyDescent="0.3"/>
    <row r="380" customFormat="1" ht="14.4" customHeight="1" x14ac:dyDescent="0.3"/>
    <row r="381" customFormat="1" ht="14.4" customHeight="1" x14ac:dyDescent="0.3"/>
    <row r="382" customFormat="1" ht="14.4" customHeight="1" x14ac:dyDescent="0.3"/>
    <row r="383" customFormat="1" ht="14.4" customHeight="1" x14ac:dyDescent="0.3"/>
    <row r="384" customFormat="1" ht="14.4" customHeight="1" x14ac:dyDescent="0.3"/>
    <row r="385" customFormat="1" ht="14.4" customHeight="1" x14ac:dyDescent="0.3"/>
    <row r="386" customFormat="1" ht="14.4" customHeight="1" x14ac:dyDescent="0.3"/>
    <row r="387" customFormat="1" ht="14.4" customHeight="1" x14ac:dyDescent="0.3"/>
    <row r="388" customFormat="1" ht="14.4" customHeight="1" x14ac:dyDescent="0.3"/>
    <row r="389" customFormat="1" ht="14.4" customHeight="1" x14ac:dyDescent="0.3"/>
    <row r="390" customFormat="1" ht="14.4" customHeight="1" x14ac:dyDescent="0.3"/>
    <row r="391" customFormat="1" ht="14.4" customHeight="1" x14ac:dyDescent="0.3"/>
    <row r="392" customFormat="1" ht="14.4" customHeight="1" x14ac:dyDescent="0.3"/>
    <row r="393" customFormat="1" ht="14.4" customHeight="1" x14ac:dyDescent="0.3"/>
    <row r="394" customFormat="1" ht="14.4" customHeight="1" x14ac:dyDescent="0.3"/>
    <row r="395" customFormat="1" ht="14.4" customHeight="1" x14ac:dyDescent="0.3"/>
    <row r="396" customFormat="1" ht="14.4" customHeight="1" x14ac:dyDescent="0.3"/>
    <row r="397" customFormat="1" ht="14.4" customHeight="1" x14ac:dyDescent="0.3"/>
    <row r="398" customFormat="1" ht="14.4" customHeight="1" x14ac:dyDescent="0.3"/>
    <row r="399" customFormat="1" ht="14.4" customHeight="1" x14ac:dyDescent="0.3"/>
    <row r="400" customFormat="1" ht="14.4" customHeight="1" x14ac:dyDescent="0.3"/>
    <row r="401" customFormat="1" ht="14.4" customHeight="1" x14ac:dyDescent="0.3"/>
    <row r="402" customFormat="1" ht="14.4" customHeight="1" x14ac:dyDescent="0.3"/>
    <row r="403" customFormat="1" ht="14.4" customHeight="1" x14ac:dyDescent="0.3"/>
    <row r="404" customFormat="1" ht="14.4" customHeight="1" x14ac:dyDescent="0.3"/>
    <row r="405" customFormat="1" ht="14.4" customHeight="1" x14ac:dyDescent="0.3"/>
    <row r="406" customFormat="1" ht="14.4" customHeight="1" x14ac:dyDescent="0.3"/>
    <row r="407" customFormat="1" ht="14.4" customHeight="1" x14ac:dyDescent="0.3"/>
    <row r="408" customFormat="1" ht="14.4" customHeight="1" x14ac:dyDescent="0.3"/>
    <row r="409" customFormat="1" ht="14.4" customHeight="1" x14ac:dyDescent="0.3"/>
    <row r="410" customFormat="1" ht="14.4" customHeight="1" x14ac:dyDescent="0.3"/>
    <row r="411" customFormat="1" ht="14.4" customHeight="1" x14ac:dyDescent="0.3"/>
    <row r="412" customFormat="1" ht="14.4" customHeight="1" x14ac:dyDescent="0.3"/>
    <row r="413" customFormat="1" ht="14.4" customHeight="1" x14ac:dyDescent="0.3"/>
    <row r="414" customFormat="1" ht="14.4" customHeight="1" x14ac:dyDescent="0.3"/>
    <row r="415" customFormat="1" ht="14.4" customHeight="1" x14ac:dyDescent="0.3"/>
    <row r="416" customFormat="1" ht="14.4" customHeight="1" x14ac:dyDescent="0.3"/>
    <row r="417" customFormat="1" ht="14.4" customHeight="1" x14ac:dyDescent="0.3"/>
    <row r="418" customFormat="1" ht="14.4" customHeight="1" x14ac:dyDescent="0.3"/>
    <row r="419" customFormat="1" ht="14.4" customHeight="1" x14ac:dyDescent="0.3"/>
    <row r="420" customFormat="1" ht="14.4" customHeight="1" x14ac:dyDescent="0.3"/>
    <row r="421" customFormat="1" ht="14.4" customHeight="1" x14ac:dyDescent="0.3"/>
    <row r="422" customFormat="1" ht="14.4" customHeight="1" x14ac:dyDescent="0.3"/>
    <row r="423" customFormat="1" ht="14.4" customHeight="1" x14ac:dyDescent="0.3"/>
    <row r="424" customFormat="1" ht="14.4" customHeight="1" x14ac:dyDescent="0.3"/>
    <row r="425" customFormat="1" ht="14.4" customHeight="1" x14ac:dyDescent="0.3"/>
    <row r="426" customFormat="1" ht="14.4" customHeight="1" x14ac:dyDescent="0.3"/>
    <row r="427" customFormat="1" ht="14.4" customHeight="1" x14ac:dyDescent="0.3"/>
    <row r="428" customFormat="1" ht="14.4" customHeight="1" x14ac:dyDescent="0.3"/>
    <row r="429" customFormat="1" ht="14.4" customHeight="1" x14ac:dyDescent="0.3"/>
    <row r="430" customFormat="1" ht="14.4" customHeight="1" x14ac:dyDescent="0.3"/>
    <row r="431" customFormat="1" ht="14.4" customHeight="1" x14ac:dyDescent="0.3"/>
    <row r="432" customFormat="1" ht="14.4" customHeight="1" x14ac:dyDescent="0.3"/>
    <row r="433" customFormat="1" ht="14.4" customHeight="1" x14ac:dyDescent="0.3"/>
    <row r="434" customFormat="1" ht="14.4" customHeight="1" x14ac:dyDescent="0.3"/>
    <row r="435" customFormat="1" ht="14.4" customHeight="1" x14ac:dyDescent="0.3"/>
    <row r="436" customFormat="1" ht="14.4" customHeight="1" x14ac:dyDescent="0.3"/>
    <row r="437" customFormat="1" ht="14.4" customHeight="1" x14ac:dyDescent="0.3"/>
    <row r="438" customFormat="1" ht="14.4" customHeight="1" x14ac:dyDescent="0.3"/>
    <row r="439" customFormat="1" ht="14.4" customHeight="1" x14ac:dyDescent="0.3"/>
    <row r="440" customFormat="1" ht="14.4" customHeight="1" x14ac:dyDescent="0.3"/>
    <row r="441" customFormat="1" ht="14.4" customHeight="1" x14ac:dyDescent="0.3"/>
    <row r="442" customFormat="1" ht="14.4" customHeight="1" x14ac:dyDescent="0.3"/>
    <row r="443" customFormat="1" ht="14.4" customHeight="1" x14ac:dyDescent="0.3"/>
    <row r="444" customFormat="1" ht="14.4" customHeight="1" x14ac:dyDescent="0.3"/>
    <row r="445" customFormat="1" ht="14.4" customHeight="1" x14ac:dyDescent="0.3"/>
    <row r="446" customFormat="1" ht="14.4" customHeight="1" x14ac:dyDescent="0.3"/>
    <row r="447" customFormat="1" ht="14.4" customHeight="1" x14ac:dyDescent="0.3"/>
    <row r="448" customFormat="1" ht="14.4" customHeight="1" x14ac:dyDescent="0.3"/>
    <row r="449" customFormat="1" ht="14.4" customHeight="1" x14ac:dyDescent="0.3"/>
    <row r="450" customFormat="1" ht="14.4" customHeight="1" x14ac:dyDescent="0.3"/>
    <row r="451" customFormat="1" ht="14.4" customHeight="1" x14ac:dyDescent="0.3"/>
    <row r="452" customFormat="1" ht="14.4" customHeight="1" x14ac:dyDescent="0.3"/>
    <row r="453" customFormat="1" ht="14.4" customHeight="1" x14ac:dyDescent="0.3"/>
    <row r="454" customFormat="1" ht="14.4" customHeight="1" x14ac:dyDescent="0.3"/>
    <row r="455" customFormat="1" ht="14.4" customHeight="1" x14ac:dyDescent="0.3"/>
    <row r="456" customFormat="1" ht="14.4" customHeight="1" x14ac:dyDescent="0.3"/>
    <row r="457" customFormat="1" ht="14.4" customHeight="1" x14ac:dyDescent="0.3"/>
    <row r="458" customFormat="1" ht="14.4" customHeight="1" x14ac:dyDescent="0.3"/>
    <row r="459" customFormat="1" ht="14.4" customHeight="1" x14ac:dyDescent="0.3"/>
    <row r="460" customFormat="1" ht="14.4" customHeight="1" x14ac:dyDescent="0.3"/>
    <row r="461" customFormat="1" ht="14.4" customHeight="1" x14ac:dyDescent="0.3"/>
    <row r="462" customFormat="1" ht="14.4" customHeight="1" x14ac:dyDescent="0.3"/>
    <row r="463" customFormat="1" ht="14.4" customHeight="1" x14ac:dyDescent="0.3"/>
    <row r="464" customFormat="1" ht="14.4" customHeight="1" x14ac:dyDescent="0.3"/>
    <row r="465" customFormat="1" ht="14.4" customHeight="1" x14ac:dyDescent="0.3"/>
    <row r="466" customFormat="1" ht="14.4" customHeight="1" x14ac:dyDescent="0.3"/>
    <row r="467" customFormat="1" ht="14.4" customHeight="1" x14ac:dyDescent="0.3"/>
    <row r="468" customFormat="1" ht="14.4" customHeight="1" x14ac:dyDescent="0.3"/>
    <row r="469" customFormat="1" ht="14.4" customHeight="1" x14ac:dyDescent="0.3"/>
    <row r="470" customFormat="1" ht="14.4" customHeight="1" x14ac:dyDescent="0.3"/>
    <row r="471" customFormat="1" ht="14.4" customHeight="1" x14ac:dyDescent="0.3"/>
    <row r="472" customFormat="1" ht="14.4" customHeight="1" x14ac:dyDescent="0.3"/>
    <row r="473" customFormat="1" ht="14.4" customHeight="1" x14ac:dyDescent="0.3"/>
    <row r="474" customFormat="1" ht="14.4" customHeight="1" x14ac:dyDescent="0.3"/>
    <row r="475" customFormat="1" ht="14.4" customHeight="1" x14ac:dyDescent="0.3"/>
    <row r="476" customFormat="1" ht="14.4" customHeight="1" x14ac:dyDescent="0.3"/>
    <row r="477" customFormat="1" ht="14.4" customHeight="1" x14ac:dyDescent="0.3"/>
    <row r="478" customFormat="1" ht="14.4" customHeight="1" x14ac:dyDescent="0.3"/>
    <row r="479" customFormat="1" ht="14.4" customHeight="1" x14ac:dyDescent="0.3"/>
    <row r="480" customFormat="1" ht="14.4" customHeight="1" x14ac:dyDescent="0.3"/>
    <row r="481" customFormat="1" ht="14.4" customHeight="1" x14ac:dyDescent="0.3"/>
    <row r="482" customFormat="1" ht="14.4" customHeight="1" x14ac:dyDescent="0.3"/>
    <row r="483" customFormat="1" ht="14.4" customHeight="1" x14ac:dyDescent="0.3"/>
    <row r="484" customFormat="1" ht="14.4" customHeight="1" x14ac:dyDescent="0.3"/>
    <row r="485" customFormat="1" ht="14.4" customHeight="1" x14ac:dyDescent="0.3"/>
    <row r="486" customFormat="1" ht="14.4" customHeight="1" x14ac:dyDescent="0.3"/>
    <row r="487" customFormat="1" ht="14.4" customHeight="1" x14ac:dyDescent="0.3"/>
    <row r="488" customFormat="1" ht="14.4" customHeight="1" x14ac:dyDescent="0.3"/>
    <row r="489" customFormat="1" ht="14.4" customHeight="1" x14ac:dyDescent="0.3"/>
    <row r="490" customFormat="1" ht="14.4" customHeight="1" x14ac:dyDescent="0.3"/>
    <row r="491" customFormat="1" ht="14.4" customHeight="1" x14ac:dyDescent="0.3"/>
    <row r="492" customFormat="1" ht="14.4" customHeight="1" x14ac:dyDescent="0.3"/>
    <row r="493" customFormat="1" ht="14.4" customHeight="1" x14ac:dyDescent="0.3"/>
    <row r="494" customFormat="1" ht="14.4" customHeight="1" x14ac:dyDescent="0.3"/>
    <row r="495" customFormat="1" ht="14.4" customHeight="1" x14ac:dyDescent="0.3"/>
    <row r="496" customFormat="1" ht="14.4" customHeight="1" x14ac:dyDescent="0.3"/>
    <row r="497" customFormat="1" ht="14.4" customHeight="1" x14ac:dyDescent="0.3"/>
    <row r="498" customFormat="1" ht="14.4" customHeight="1" x14ac:dyDescent="0.3"/>
    <row r="499" customFormat="1" ht="14.4" customHeight="1" x14ac:dyDescent="0.3"/>
    <row r="500" customFormat="1" ht="14.4" customHeight="1" x14ac:dyDescent="0.3"/>
    <row r="501" customFormat="1" ht="14.4" customHeight="1" x14ac:dyDescent="0.3"/>
    <row r="502" customFormat="1" ht="14.4" customHeight="1" x14ac:dyDescent="0.3"/>
    <row r="503" customFormat="1" ht="14.4" customHeight="1" x14ac:dyDescent="0.3"/>
    <row r="504" customFormat="1" ht="14.4" customHeight="1" x14ac:dyDescent="0.3"/>
    <row r="505" customFormat="1" ht="14.4" customHeight="1" x14ac:dyDescent="0.3"/>
    <row r="506" customFormat="1" ht="14.4" customHeight="1" x14ac:dyDescent="0.3"/>
    <row r="507" customFormat="1" ht="14.4" customHeight="1" x14ac:dyDescent="0.3"/>
    <row r="508" customFormat="1" ht="14.4" customHeight="1" x14ac:dyDescent="0.3"/>
    <row r="509" customFormat="1" ht="14.4" customHeight="1" x14ac:dyDescent="0.3"/>
    <row r="510" customFormat="1" ht="14.4" customHeight="1" x14ac:dyDescent="0.3"/>
    <row r="511" customFormat="1" ht="14.4" customHeight="1" x14ac:dyDescent="0.3"/>
    <row r="512" customFormat="1" ht="14.4" customHeight="1" x14ac:dyDescent="0.3"/>
    <row r="513" customFormat="1" ht="14.4" customHeight="1" x14ac:dyDescent="0.3"/>
    <row r="514" customFormat="1" ht="14.4" customHeight="1" x14ac:dyDescent="0.3"/>
    <row r="515" customFormat="1" ht="14.4" customHeight="1" x14ac:dyDescent="0.3"/>
    <row r="516" customFormat="1" ht="14.4" customHeight="1" x14ac:dyDescent="0.3"/>
    <row r="517" customFormat="1" ht="14.4" customHeight="1" x14ac:dyDescent="0.3"/>
    <row r="518" customFormat="1" ht="14.4" customHeight="1" x14ac:dyDescent="0.3"/>
    <row r="519" customFormat="1" ht="14.4" customHeight="1" x14ac:dyDescent="0.3"/>
    <row r="520" customFormat="1" ht="14.4" customHeight="1" x14ac:dyDescent="0.3"/>
    <row r="521" customFormat="1" ht="14.4" customHeight="1" x14ac:dyDescent="0.3"/>
    <row r="522" customFormat="1" ht="14.4" customHeight="1" x14ac:dyDescent="0.3"/>
    <row r="523" customFormat="1" ht="14.4" customHeight="1" x14ac:dyDescent="0.3"/>
    <row r="524" customFormat="1" ht="14.4" customHeight="1" x14ac:dyDescent="0.3"/>
    <row r="525" customFormat="1" ht="14.4" customHeight="1" x14ac:dyDescent="0.3"/>
    <row r="526" customFormat="1" ht="14.4" customHeight="1" x14ac:dyDescent="0.3"/>
    <row r="527" customFormat="1" ht="14.4" customHeight="1" x14ac:dyDescent="0.3"/>
    <row r="528" customFormat="1" ht="14.4" customHeight="1" x14ac:dyDescent="0.3"/>
    <row r="529" customFormat="1" ht="14.4" customHeight="1" x14ac:dyDescent="0.3"/>
    <row r="530" customFormat="1" ht="14.4" customHeight="1" x14ac:dyDescent="0.3"/>
    <row r="531" customFormat="1" ht="14.4" customHeight="1" x14ac:dyDescent="0.3"/>
    <row r="532" customFormat="1" ht="14.4" customHeight="1" x14ac:dyDescent="0.3"/>
    <row r="533" customFormat="1" ht="14.4" customHeight="1" x14ac:dyDescent="0.3"/>
    <row r="534" customFormat="1" ht="14.4" customHeight="1" x14ac:dyDescent="0.3"/>
    <row r="535" customFormat="1" ht="14.4" customHeight="1" x14ac:dyDescent="0.3"/>
    <row r="536" customFormat="1" ht="14.4" customHeight="1" x14ac:dyDescent="0.3"/>
    <row r="537" customFormat="1" ht="14.4" customHeight="1" x14ac:dyDescent="0.3"/>
    <row r="538" customFormat="1" ht="14.4" customHeight="1" x14ac:dyDescent="0.3"/>
    <row r="539" customFormat="1" ht="14.4" customHeight="1" x14ac:dyDescent="0.3"/>
    <row r="540" customFormat="1" ht="14.4" customHeight="1" x14ac:dyDescent="0.3"/>
    <row r="541" customFormat="1" ht="14.4" customHeight="1" x14ac:dyDescent="0.3"/>
    <row r="542" customFormat="1" ht="14.4" customHeight="1" x14ac:dyDescent="0.3"/>
    <row r="543" customFormat="1" ht="14.4" customHeight="1" x14ac:dyDescent="0.3"/>
    <row r="544" customFormat="1" ht="14.4" customHeight="1" x14ac:dyDescent="0.3"/>
    <row r="545" customFormat="1" ht="14.4" customHeight="1" x14ac:dyDescent="0.3"/>
    <row r="546" customFormat="1" ht="14.4" customHeight="1" x14ac:dyDescent="0.3"/>
    <row r="547" customFormat="1" ht="14.4" customHeight="1" x14ac:dyDescent="0.3"/>
    <row r="548" customFormat="1" ht="14.4" customHeight="1" x14ac:dyDescent="0.3"/>
    <row r="549" customFormat="1" ht="14.4" customHeight="1" x14ac:dyDescent="0.3"/>
    <row r="550" customFormat="1" ht="14.4" customHeight="1" x14ac:dyDescent="0.3"/>
    <row r="551" customFormat="1" ht="14.4" customHeight="1" x14ac:dyDescent="0.3"/>
    <row r="552" customFormat="1" ht="14.4" customHeight="1" x14ac:dyDescent="0.3"/>
    <row r="553" customFormat="1" ht="14.4" customHeight="1" x14ac:dyDescent="0.3"/>
    <row r="554" customFormat="1" ht="14.4" customHeight="1" x14ac:dyDescent="0.3"/>
    <row r="555" customFormat="1" ht="14.4" customHeight="1" x14ac:dyDescent="0.3"/>
    <row r="556" customFormat="1" ht="14.4" customHeight="1" x14ac:dyDescent="0.3"/>
    <row r="557" customFormat="1" ht="14.4" customHeight="1" x14ac:dyDescent="0.3"/>
    <row r="558" customFormat="1" ht="14.4" customHeight="1" x14ac:dyDescent="0.3"/>
    <row r="559" customFormat="1" ht="14.4" customHeight="1" x14ac:dyDescent="0.3"/>
    <row r="560" customFormat="1" ht="14.4" customHeight="1" x14ac:dyDescent="0.3"/>
    <row r="561" customFormat="1" ht="14.4" customHeight="1" x14ac:dyDescent="0.3"/>
    <row r="562" customFormat="1" ht="14.4" customHeight="1" x14ac:dyDescent="0.3"/>
    <row r="563" customFormat="1" ht="14.4" customHeight="1" x14ac:dyDescent="0.3"/>
    <row r="564" customFormat="1" ht="14.4" customHeight="1" x14ac:dyDescent="0.3"/>
    <row r="565" customFormat="1" ht="14.4" customHeight="1" x14ac:dyDescent="0.3"/>
    <row r="566" customFormat="1" ht="14.4" customHeight="1" x14ac:dyDescent="0.3"/>
    <row r="567" customFormat="1" ht="14.4" customHeight="1" x14ac:dyDescent="0.3"/>
    <row r="568" customFormat="1" ht="14.4" customHeight="1" x14ac:dyDescent="0.3"/>
    <row r="569" customFormat="1" ht="14.4" customHeight="1" x14ac:dyDescent="0.3"/>
    <row r="570" customFormat="1" ht="14.4" customHeight="1" x14ac:dyDescent="0.3"/>
    <row r="571" customFormat="1" ht="14.4" customHeight="1" x14ac:dyDescent="0.3"/>
    <row r="572" customFormat="1" ht="14.4" customHeight="1" x14ac:dyDescent="0.3"/>
    <row r="573" customFormat="1" ht="14.4" customHeight="1" x14ac:dyDescent="0.3"/>
    <row r="574" customFormat="1" ht="14.4" customHeight="1" x14ac:dyDescent="0.3"/>
    <row r="575" customFormat="1" ht="14.4" customHeight="1" x14ac:dyDescent="0.3"/>
    <row r="576" customFormat="1" ht="14.4" customHeight="1" x14ac:dyDescent="0.3"/>
    <row r="577" customFormat="1" ht="14.4" customHeight="1" x14ac:dyDescent="0.3"/>
    <row r="578" customFormat="1" ht="14.4" customHeight="1" x14ac:dyDescent="0.3"/>
    <row r="579" customFormat="1" ht="14.4" customHeight="1" x14ac:dyDescent="0.3"/>
    <row r="580" customFormat="1" ht="14.4" customHeight="1" x14ac:dyDescent="0.3"/>
    <row r="581" customFormat="1" ht="14.4" customHeight="1" x14ac:dyDescent="0.3"/>
    <row r="582" customFormat="1" ht="14.4" customHeight="1" x14ac:dyDescent="0.3"/>
    <row r="583" customFormat="1" ht="14.4" customHeight="1" x14ac:dyDescent="0.3"/>
    <row r="584" customFormat="1" ht="14.4" customHeight="1" x14ac:dyDescent="0.3"/>
    <row r="585" customFormat="1" ht="14.4" customHeight="1" x14ac:dyDescent="0.3"/>
    <row r="586" customFormat="1" ht="14.4" customHeight="1" x14ac:dyDescent="0.3"/>
    <row r="587" customFormat="1" ht="14.4" customHeight="1" x14ac:dyDescent="0.3"/>
    <row r="588" customFormat="1" ht="14.4" customHeight="1" x14ac:dyDescent="0.3"/>
    <row r="589" customFormat="1" ht="14.4" customHeight="1" x14ac:dyDescent="0.3"/>
    <row r="590" customFormat="1" ht="14.4" customHeight="1" x14ac:dyDescent="0.3"/>
    <row r="591" customFormat="1" ht="14.4" customHeight="1" x14ac:dyDescent="0.3"/>
    <row r="592" customFormat="1" ht="14.4" customHeight="1" x14ac:dyDescent="0.3"/>
    <row r="593" customFormat="1" ht="14.4" customHeight="1" x14ac:dyDescent="0.3"/>
    <row r="594" customFormat="1" ht="14.4" customHeight="1" x14ac:dyDescent="0.3"/>
    <row r="595" customFormat="1" ht="14.4" customHeight="1" x14ac:dyDescent="0.3"/>
    <row r="596" customFormat="1" ht="14.4" customHeight="1" x14ac:dyDescent="0.3"/>
    <row r="597" customFormat="1" ht="14.4" customHeight="1" x14ac:dyDescent="0.3"/>
    <row r="598" customFormat="1" ht="14.4" customHeight="1" x14ac:dyDescent="0.3"/>
    <row r="599" customFormat="1" ht="14.4" customHeight="1" x14ac:dyDescent="0.3"/>
    <row r="600" customFormat="1" ht="14.4" customHeight="1" x14ac:dyDescent="0.3"/>
    <row r="601" customFormat="1" ht="14.4" customHeight="1" x14ac:dyDescent="0.3"/>
    <row r="602" customFormat="1" ht="14.4" customHeight="1" x14ac:dyDescent="0.3"/>
    <row r="603" customFormat="1" ht="14.4" customHeight="1" x14ac:dyDescent="0.3"/>
    <row r="604" customFormat="1" ht="14.4" customHeight="1" x14ac:dyDescent="0.3"/>
    <row r="605" customFormat="1" ht="14.4" customHeight="1" x14ac:dyDescent="0.3"/>
    <row r="606" customFormat="1" ht="14.4" customHeight="1" x14ac:dyDescent="0.3"/>
    <row r="607" customFormat="1" ht="14.4" customHeight="1" x14ac:dyDescent="0.3"/>
    <row r="608" customFormat="1" ht="14.4" customHeight="1" x14ac:dyDescent="0.3"/>
    <row r="609" customFormat="1" ht="14.4" customHeight="1" x14ac:dyDescent="0.3"/>
    <row r="610" customFormat="1" ht="14.4" customHeight="1" x14ac:dyDescent="0.3"/>
    <row r="611" customFormat="1" ht="14.4" customHeight="1" x14ac:dyDescent="0.3"/>
    <row r="612" customFormat="1" ht="14.4" customHeight="1" x14ac:dyDescent="0.3"/>
    <row r="613" customFormat="1" ht="14.4" customHeight="1" x14ac:dyDescent="0.3"/>
    <row r="614" customFormat="1" ht="14.4" customHeight="1" x14ac:dyDescent="0.3"/>
    <row r="615" customFormat="1" ht="14.4" customHeight="1" x14ac:dyDescent="0.3"/>
    <row r="616" customFormat="1" ht="14.4" customHeight="1" x14ac:dyDescent="0.3"/>
    <row r="617" customFormat="1" ht="14.4" customHeight="1" x14ac:dyDescent="0.3"/>
    <row r="618" customFormat="1" ht="14.4" customHeight="1" x14ac:dyDescent="0.3"/>
    <row r="619" customFormat="1" ht="14.4" customHeight="1" x14ac:dyDescent="0.3"/>
    <row r="620" customFormat="1" ht="14.4" customHeight="1" x14ac:dyDescent="0.3"/>
    <row r="621" customFormat="1" ht="14.4" customHeight="1" x14ac:dyDescent="0.3"/>
    <row r="622" customFormat="1" ht="14.4" customHeight="1" x14ac:dyDescent="0.3"/>
    <row r="623" customFormat="1" ht="14.4" customHeight="1" x14ac:dyDescent="0.3"/>
    <row r="624" customFormat="1" ht="14.4" customHeight="1" x14ac:dyDescent="0.3"/>
    <row r="625" customFormat="1" ht="14.4" customHeight="1" x14ac:dyDescent="0.3"/>
    <row r="626" customFormat="1" ht="14.4" customHeight="1" x14ac:dyDescent="0.3"/>
    <row r="627" customFormat="1" ht="14.4" customHeight="1" x14ac:dyDescent="0.3"/>
    <row r="628" customFormat="1" ht="14.4" customHeight="1" x14ac:dyDescent="0.3"/>
    <row r="629" customFormat="1" ht="14.4" customHeight="1" x14ac:dyDescent="0.3"/>
    <row r="630" customFormat="1" ht="14.4" customHeight="1" x14ac:dyDescent="0.3"/>
    <row r="631" customFormat="1" ht="14.4" customHeight="1" x14ac:dyDescent="0.3"/>
    <row r="632" customFormat="1" ht="14.4" customHeight="1" x14ac:dyDescent="0.3"/>
    <row r="633" customFormat="1" ht="14.4" customHeight="1" x14ac:dyDescent="0.3"/>
    <row r="634" customFormat="1" ht="14.4" customHeight="1" x14ac:dyDescent="0.3"/>
    <row r="635" customFormat="1" ht="14.4" customHeight="1" x14ac:dyDescent="0.3"/>
    <row r="636" customFormat="1" ht="14.4" customHeight="1" x14ac:dyDescent="0.3"/>
    <row r="637" customFormat="1" ht="14.4" customHeight="1" x14ac:dyDescent="0.3"/>
    <row r="638" customFormat="1" ht="14.4" customHeight="1" x14ac:dyDescent="0.3"/>
    <row r="639" customFormat="1" ht="14.4" customHeight="1" x14ac:dyDescent="0.3"/>
    <row r="640" customFormat="1" ht="14.4" customHeight="1" x14ac:dyDescent="0.3"/>
    <row r="641" customFormat="1" ht="14.4" customHeight="1" x14ac:dyDescent="0.3"/>
    <row r="642" customFormat="1" ht="14.4" customHeight="1" x14ac:dyDescent="0.3"/>
    <row r="643" customFormat="1" ht="14.4" customHeight="1" x14ac:dyDescent="0.3"/>
    <row r="644" customFormat="1" ht="14.4" customHeight="1" x14ac:dyDescent="0.3"/>
    <row r="645" customFormat="1" ht="14.4" customHeight="1" x14ac:dyDescent="0.3"/>
    <row r="646" customFormat="1" ht="14.4" customHeight="1" x14ac:dyDescent="0.3"/>
    <row r="647" customFormat="1" ht="14.4" customHeight="1" x14ac:dyDescent="0.3"/>
    <row r="648" customFormat="1" ht="14.4" customHeight="1" x14ac:dyDescent="0.3"/>
    <row r="649" customFormat="1" ht="14.4" customHeight="1" x14ac:dyDescent="0.3"/>
    <row r="650" customFormat="1" ht="14.4" customHeight="1" x14ac:dyDescent="0.3"/>
    <row r="651" customFormat="1" ht="14.4" customHeight="1" x14ac:dyDescent="0.3"/>
    <row r="652" customFormat="1" ht="14.4" customHeight="1" x14ac:dyDescent="0.3"/>
    <row r="653" customFormat="1" ht="14.4" customHeight="1" x14ac:dyDescent="0.3"/>
    <row r="654" customFormat="1" ht="14.4" customHeight="1" x14ac:dyDescent="0.3"/>
    <row r="655" customFormat="1" ht="14.4" customHeight="1" x14ac:dyDescent="0.3"/>
    <row r="656" customFormat="1" ht="14.4" customHeight="1" x14ac:dyDescent="0.3"/>
    <row r="657" customFormat="1" ht="14.4" customHeight="1" x14ac:dyDescent="0.3"/>
    <row r="658" customFormat="1" ht="14.4" customHeight="1" x14ac:dyDescent="0.3"/>
    <row r="659" customFormat="1" ht="14.4" customHeight="1" x14ac:dyDescent="0.3"/>
    <row r="660" customFormat="1" ht="14.4" customHeight="1" x14ac:dyDescent="0.3"/>
    <row r="661" customFormat="1" ht="14.4" customHeight="1" x14ac:dyDescent="0.3"/>
    <row r="662" customFormat="1" ht="14.4" customHeight="1" x14ac:dyDescent="0.3"/>
    <row r="663" customFormat="1" ht="14.4" customHeight="1" x14ac:dyDescent="0.3"/>
    <row r="664" customFormat="1" ht="14.4" customHeight="1" x14ac:dyDescent="0.3"/>
    <row r="665" customFormat="1" ht="14.4" customHeight="1" x14ac:dyDescent="0.3"/>
    <row r="666" customFormat="1" ht="14.4" customHeight="1" x14ac:dyDescent="0.3"/>
    <row r="667" customFormat="1" ht="14.4" customHeight="1" x14ac:dyDescent="0.3"/>
    <row r="668" customFormat="1" ht="14.4" customHeight="1" x14ac:dyDescent="0.3"/>
    <row r="669" customFormat="1" ht="14.4" customHeight="1" x14ac:dyDescent="0.3"/>
    <row r="670" customFormat="1" ht="14.4" customHeight="1" x14ac:dyDescent="0.3"/>
    <row r="671" customFormat="1" ht="14.4" customHeight="1" x14ac:dyDescent="0.3"/>
    <row r="672" customFormat="1" ht="14.4" customHeight="1" x14ac:dyDescent="0.3"/>
    <row r="673" customFormat="1" ht="14.4" customHeight="1" x14ac:dyDescent="0.3"/>
    <row r="674" customFormat="1" ht="14.4" customHeight="1" x14ac:dyDescent="0.3"/>
    <row r="675" customFormat="1" ht="14.4" customHeight="1" x14ac:dyDescent="0.3"/>
    <row r="676" customFormat="1" ht="14.4" customHeight="1" x14ac:dyDescent="0.3"/>
    <row r="677" customFormat="1" ht="14.4" customHeight="1" x14ac:dyDescent="0.3"/>
    <row r="678" customFormat="1" ht="14.4" customHeight="1" x14ac:dyDescent="0.3"/>
    <row r="679" customFormat="1" ht="14.4" customHeight="1" x14ac:dyDescent="0.3"/>
    <row r="680" customFormat="1" ht="14.4" customHeight="1" x14ac:dyDescent="0.3"/>
    <row r="681" customFormat="1" ht="14.4" customHeight="1" x14ac:dyDescent="0.3"/>
    <row r="682" customFormat="1" ht="14.4" customHeight="1" x14ac:dyDescent="0.3"/>
    <row r="683" customFormat="1" ht="14.4" customHeight="1" x14ac:dyDescent="0.3"/>
    <row r="684" customFormat="1" ht="14.4" customHeight="1" x14ac:dyDescent="0.3"/>
    <row r="685" customFormat="1" ht="14.4" customHeight="1" x14ac:dyDescent="0.3"/>
    <row r="686" customFormat="1" ht="14.4" customHeight="1" x14ac:dyDescent="0.3"/>
    <row r="687" customFormat="1" ht="14.4" customHeight="1" x14ac:dyDescent="0.3"/>
    <row r="688" customFormat="1" ht="14.4" customHeight="1" x14ac:dyDescent="0.3"/>
    <row r="689" customFormat="1" ht="14.4" customHeight="1" x14ac:dyDescent="0.3"/>
    <row r="690" customFormat="1" ht="14.4" customHeight="1" x14ac:dyDescent="0.3"/>
    <row r="691" customFormat="1" ht="14.4" customHeight="1" x14ac:dyDescent="0.3"/>
    <row r="692" customFormat="1" ht="14.4" customHeight="1" x14ac:dyDescent="0.3"/>
    <row r="693" customFormat="1" ht="14.4" customHeight="1" x14ac:dyDescent="0.3"/>
    <row r="694" customFormat="1" ht="14.4" customHeight="1" x14ac:dyDescent="0.3"/>
    <row r="695" customFormat="1" ht="14.4" customHeight="1" x14ac:dyDescent="0.3"/>
    <row r="696" customFormat="1" ht="14.4" customHeight="1" x14ac:dyDescent="0.3"/>
    <row r="697" customFormat="1" ht="14.4" customHeight="1" x14ac:dyDescent="0.3"/>
    <row r="698" customFormat="1" ht="14.4" customHeight="1" x14ac:dyDescent="0.3"/>
    <row r="699" customFormat="1" ht="14.4" customHeight="1" x14ac:dyDescent="0.3"/>
    <row r="700" customFormat="1" ht="14.4" customHeight="1" x14ac:dyDescent="0.3"/>
    <row r="701" customFormat="1" ht="14.4" customHeight="1" x14ac:dyDescent="0.3"/>
    <row r="702" customFormat="1" ht="14.4" customHeight="1" x14ac:dyDescent="0.3"/>
    <row r="703" customFormat="1" ht="14.4" customHeight="1" x14ac:dyDescent="0.3"/>
    <row r="704" customFormat="1" ht="14.4" customHeight="1" x14ac:dyDescent="0.3"/>
    <row r="705" customFormat="1" ht="14.4" customHeight="1" x14ac:dyDescent="0.3"/>
    <row r="706" customFormat="1" ht="14.4" customHeight="1" x14ac:dyDescent="0.3"/>
    <row r="707" customFormat="1" ht="14.4" customHeight="1" x14ac:dyDescent="0.3"/>
    <row r="708" customFormat="1" ht="14.4" customHeight="1" x14ac:dyDescent="0.3"/>
    <row r="709" customFormat="1" ht="14.4" customHeight="1" x14ac:dyDescent="0.3"/>
    <row r="710" customFormat="1" ht="14.4" customHeight="1" x14ac:dyDescent="0.3"/>
    <row r="711" customFormat="1" ht="14.4" customHeight="1" x14ac:dyDescent="0.3"/>
    <row r="712" customFormat="1" ht="14.4" customHeight="1" x14ac:dyDescent="0.3"/>
    <row r="713" customFormat="1" ht="14.4" customHeight="1" x14ac:dyDescent="0.3"/>
    <row r="714" customFormat="1" ht="14.4" customHeight="1" x14ac:dyDescent="0.3"/>
    <row r="715" customFormat="1" ht="14.4" customHeight="1" x14ac:dyDescent="0.3"/>
    <row r="716" customFormat="1" ht="14.4" customHeight="1" x14ac:dyDescent="0.3"/>
    <row r="717" customFormat="1" ht="14.4" customHeight="1" x14ac:dyDescent="0.3"/>
    <row r="718" customFormat="1" ht="14.4" customHeight="1" x14ac:dyDescent="0.3"/>
    <row r="719" customFormat="1" ht="14.4" customHeight="1" x14ac:dyDescent="0.3"/>
    <row r="720" customFormat="1" ht="14.4" customHeight="1" x14ac:dyDescent="0.3"/>
    <row r="721" customFormat="1" ht="14.4" customHeight="1" x14ac:dyDescent="0.3"/>
    <row r="722" customFormat="1" ht="14.4" customHeight="1" x14ac:dyDescent="0.3"/>
    <row r="723" customFormat="1" ht="14.4" customHeight="1" x14ac:dyDescent="0.3"/>
    <row r="724" customFormat="1" ht="14.4" customHeight="1" x14ac:dyDescent="0.3"/>
    <row r="725" customFormat="1" ht="14.4" customHeight="1" x14ac:dyDescent="0.3"/>
    <row r="726" customFormat="1" ht="14.4" customHeight="1" x14ac:dyDescent="0.3"/>
    <row r="727" customFormat="1" ht="14.4" customHeight="1" x14ac:dyDescent="0.3"/>
    <row r="728" customFormat="1" ht="14.4" customHeight="1" x14ac:dyDescent="0.3"/>
    <row r="729" customFormat="1" ht="14.4" customHeight="1" x14ac:dyDescent="0.3"/>
    <row r="730" customFormat="1" ht="14.4" customHeight="1" x14ac:dyDescent="0.3"/>
    <row r="731" customFormat="1" ht="14.4" customHeight="1" x14ac:dyDescent="0.3"/>
    <row r="732" customFormat="1" ht="14.4" customHeight="1" x14ac:dyDescent="0.3"/>
    <row r="733" customFormat="1" ht="14.4" customHeight="1" x14ac:dyDescent="0.3"/>
    <row r="734" customFormat="1" ht="14.4" customHeight="1" x14ac:dyDescent="0.3"/>
    <row r="735" customFormat="1" ht="14.4" customHeight="1" x14ac:dyDescent="0.3"/>
    <row r="736" customFormat="1" ht="14.4" customHeight="1" x14ac:dyDescent="0.3"/>
    <row r="737" customFormat="1" ht="14.4" customHeight="1" x14ac:dyDescent="0.3"/>
    <row r="738" customFormat="1" ht="14.4" customHeight="1" x14ac:dyDescent="0.3"/>
    <row r="739" customFormat="1" ht="14.4" customHeight="1" x14ac:dyDescent="0.3"/>
    <row r="740" customFormat="1" ht="14.4" customHeight="1" x14ac:dyDescent="0.3"/>
    <row r="741" customFormat="1" ht="14.4" customHeight="1" x14ac:dyDescent="0.3"/>
    <row r="742" customFormat="1" ht="14.4" customHeight="1" x14ac:dyDescent="0.3"/>
    <row r="743" customFormat="1" ht="14.4" customHeight="1" x14ac:dyDescent="0.3"/>
    <row r="744" customFormat="1" ht="14.4" customHeight="1" x14ac:dyDescent="0.3"/>
    <row r="745" customFormat="1" ht="14.4" customHeight="1" x14ac:dyDescent="0.3"/>
    <row r="746" customFormat="1" ht="14.4" customHeight="1" x14ac:dyDescent="0.3"/>
    <row r="747" customFormat="1" ht="14.4" customHeight="1" x14ac:dyDescent="0.3"/>
    <row r="748" customFormat="1" ht="14.4" customHeight="1" x14ac:dyDescent="0.3"/>
    <row r="749" customFormat="1" ht="14.4" customHeight="1" x14ac:dyDescent="0.3"/>
    <row r="750" customFormat="1" ht="14.4" customHeight="1" x14ac:dyDescent="0.3"/>
    <row r="751" customFormat="1" ht="14.4" customHeight="1" x14ac:dyDescent="0.3"/>
    <row r="752" customFormat="1" ht="14.4" customHeight="1" x14ac:dyDescent="0.3"/>
    <row r="753" customFormat="1" ht="14.4" customHeight="1" x14ac:dyDescent="0.3"/>
    <row r="754" customFormat="1" ht="14.4" customHeight="1" x14ac:dyDescent="0.3"/>
    <row r="755" customFormat="1" ht="14.4" customHeight="1" x14ac:dyDescent="0.3"/>
    <row r="756" customFormat="1" ht="14.4" customHeight="1" x14ac:dyDescent="0.3"/>
    <row r="757" customFormat="1" ht="14.4" customHeight="1" x14ac:dyDescent="0.3"/>
    <row r="758" customFormat="1" ht="14.4" customHeight="1" x14ac:dyDescent="0.3"/>
    <row r="759" customFormat="1" ht="14.4" customHeight="1" x14ac:dyDescent="0.3"/>
    <row r="760" customFormat="1" ht="14.4" customHeight="1" x14ac:dyDescent="0.3"/>
    <row r="761" customFormat="1" ht="14.4" customHeight="1" x14ac:dyDescent="0.3"/>
    <row r="762" customFormat="1" ht="14.4" customHeight="1" x14ac:dyDescent="0.3"/>
    <row r="763" customFormat="1" ht="14.4" customHeight="1" x14ac:dyDescent="0.3"/>
    <row r="764" customFormat="1" ht="14.4" customHeight="1" x14ac:dyDescent="0.3"/>
    <row r="765" customFormat="1" ht="14.4" customHeight="1" x14ac:dyDescent="0.3"/>
    <row r="766" customFormat="1" ht="14.4" customHeight="1" x14ac:dyDescent="0.3"/>
    <row r="767" customFormat="1" ht="14.4" customHeight="1" x14ac:dyDescent="0.3"/>
    <row r="768" customFormat="1" ht="14.4" customHeight="1" x14ac:dyDescent="0.3"/>
    <row r="769" customFormat="1" ht="14.4" customHeight="1" x14ac:dyDescent="0.3"/>
    <row r="770" customFormat="1" ht="14.4" customHeight="1" x14ac:dyDescent="0.3"/>
    <row r="771" customFormat="1" ht="14.4" customHeight="1" x14ac:dyDescent="0.3"/>
    <row r="772" customFormat="1" ht="14.4" customHeight="1" x14ac:dyDescent="0.3"/>
    <row r="773" customFormat="1" ht="14.4" customHeight="1" x14ac:dyDescent="0.3"/>
    <row r="774" customFormat="1" ht="14.4" customHeight="1" x14ac:dyDescent="0.3"/>
    <row r="775" customFormat="1" ht="14.4" customHeight="1" x14ac:dyDescent="0.3"/>
    <row r="776" customFormat="1" ht="14.4" customHeight="1" x14ac:dyDescent="0.3"/>
    <row r="777" customFormat="1" ht="14.4" customHeight="1" x14ac:dyDescent="0.3"/>
    <row r="778" customFormat="1" ht="14.4" customHeight="1" x14ac:dyDescent="0.3"/>
    <row r="779" customFormat="1" ht="14.4" customHeight="1" x14ac:dyDescent="0.3"/>
    <row r="780" customFormat="1" ht="14.4" customHeight="1" x14ac:dyDescent="0.3"/>
    <row r="781" customFormat="1" ht="14.4" customHeight="1" x14ac:dyDescent="0.3"/>
    <row r="782" customFormat="1" ht="14.4" customHeight="1" x14ac:dyDescent="0.3"/>
    <row r="783" customFormat="1" ht="14.4" customHeight="1" x14ac:dyDescent="0.3"/>
    <row r="784" customFormat="1" ht="14.4" customHeight="1" x14ac:dyDescent="0.3"/>
    <row r="785" customFormat="1" ht="14.4" customHeight="1" x14ac:dyDescent="0.3"/>
    <row r="786" customFormat="1" ht="14.4" customHeight="1" x14ac:dyDescent="0.3"/>
    <row r="787" customFormat="1" ht="14.4" customHeight="1" x14ac:dyDescent="0.3"/>
    <row r="788" customFormat="1" ht="14.4" customHeight="1" x14ac:dyDescent="0.3"/>
    <row r="789" customFormat="1" ht="14.4" customHeight="1" x14ac:dyDescent="0.3"/>
    <row r="790" customFormat="1" ht="14.4" customHeight="1" x14ac:dyDescent="0.3"/>
    <row r="791" customFormat="1" ht="14.4" customHeight="1" x14ac:dyDescent="0.3"/>
    <row r="792" customFormat="1" ht="14.4" customHeight="1" x14ac:dyDescent="0.3"/>
    <row r="793" customFormat="1" ht="14.4" customHeight="1" x14ac:dyDescent="0.3"/>
    <row r="794" customFormat="1" ht="14.4" customHeight="1" x14ac:dyDescent="0.3"/>
    <row r="795" customFormat="1" ht="14.4" customHeight="1" x14ac:dyDescent="0.3"/>
    <row r="796" customFormat="1" ht="14.4" customHeight="1" x14ac:dyDescent="0.3"/>
    <row r="797" customFormat="1" ht="14.4" customHeight="1" x14ac:dyDescent="0.3"/>
    <row r="798" customFormat="1" ht="14.4" customHeight="1" x14ac:dyDescent="0.3"/>
    <row r="799" customFormat="1" ht="14.4" customHeight="1" x14ac:dyDescent="0.3"/>
    <row r="800" customFormat="1" ht="14.4" customHeight="1" x14ac:dyDescent="0.3"/>
    <row r="801" customFormat="1" ht="14.4" customHeight="1" x14ac:dyDescent="0.3"/>
    <row r="802" customFormat="1" ht="14.4" customHeight="1" x14ac:dyDescent="0.3"/>
    <row r="803" customFormat="1" ht="14.4" customHeight="1" x14ac:dyDescent="0.3"/>
    <row r="804" customFormat="1" ht="14.4" customHeight="1" x14ac:dyDescent="0.3"/>
    <row r="805" customFormat="1" ht="14.4" customHeight="1" x14ac:dyDescent="0.3"/>
    <row r="806" customFormat="1" ht="14.4" customHeight="1" x14ac:dyDescent="0.3"/>
    <row r="807" customFormat="1" ht="14.4" customHeight="1" x14ac:dyDescent="0.3"/>
    <row r="808" customFormat="1" ht="14.4" customHeight="1" x14ac:dyDescent="0.3"/>
    <row r="809" customFormat="1" ht="14.4" customHeight="1" x14ac:dyDescent="0.3"/>
    <row r="810" customFormat="1" ht="14.4" customHeight="1" x14ac:dyDescent="0.3"/>
    <row r="811" customFormat="1" ht="14.4" customHeight="1" x14ac:dyDescent="0.3"/>
    <row r="812" customFormat="1" ht="14.4" customHeight="1" x14ac:dyDescent="0.3"/>
    <row r="813" customFormat="1" ht="14.4" customHeight="1" x14ac:dyDescent="0.3"/>
    <row r="814" customFormat="1" ht="14.4" customHeight="1" x14ac:dyDescent="0.3"/>
    <row r="815" customFormat="1" ht="14.4" customHeight="1" x14ac:dyDescent="0.3"/>
    <row r="816" customFormat="1" ht="14.4" customHeight="1" x14ac:dyDescent="0.3"/>
    <row r="817" customFormat="1" ht="14.4" customHeight="1" x14ac:dyDescent="0.3"/>
    <row r="818" customFormat="1" ht="14.4" customHeight="1" x14ac:dyDescent="0.3"/>
    <row r="819" customFormat="1" ht="14.4" customHeight="1" x14ac:dyDescent="0.3"/>
    <row r="820" customFormat="1" ht="14.4" customHeight="1" x14ac:dyDescent="0.3"/>
    <row r="821" customFormat="1" ht="14.4" customHeight="1" x14ac:dyDescent="0.3"/>
    <row r="822" customFormat="1" ht="14.4" customHeight="1" x14ac:dyDescent="0.3"/>
    <row r="823" customFormat="1" ht="14.4" customHeight="1" x14ac:dyDescent="0.3"/>
    <row r="824" customFormat="1" ht="14.4" customHeight="1" x14ac:dyDescent="0.3"/>
    <row r="825" customFormat="1" ht="14.4" customHeight="1" x14ac:dyDescent="0.3"/>
    <row r="826" customFormat="1" ht="14.4" customHeight="1" x14ac:dyDescent="0.3"/>
    <row r="827" customFormat="1" ht="14.4" customHeight="1" x14ac:dyDescent="0.3"/>
    <row r="828" customFormat="1" ht="14.4" customHeight="1" x14ac:dyDescent="0.3"/>
    <row r="829" customFormat="1" ht="14.4" customHeight="1" x14ac:dyDescent="0.3"/>
    <row r="830" customFormat="1" ht="14.4" customHeight="1" x14ac:dyDescent="0.3"/>
    <row r="831" customFormat="1" ht="14.4" customHeight="1" x14ac:dyDescent="0.3"/>
    <row r="832" customFormat="1" ht="14.4" customHeight="1" x14ac:dyDescent="0.3"/>
    <row r="833" customFormat="1" ht="14.4" customHeight="1" x14ac:dyDescent="0.3"/>
    <row r="834" customFormat="1" ht="14.4" customHeight="1" x14ac:dyDescent="0.3"/>
    <row r="835" customFormat="1" ht="14.4" customHeight="1" x14ac:dyDescent="0.3"/>
    <row r="836" customFormat="1" ht="14.4" customHeight="1" x14ac:dyDescent="0.3"/>
    <row r="837" customFormat="1" ht="14.4" customHeight="1" x14ac:dyDescent="0.3"/>
    <row r="838" customFormat="1" ht="14.4" customHeight="1" x14ac:dyDescent="0.3"/>
    <row r="839" customFormat="1" ht="14.4" customHeight="1" x14ac:dyDescent="0.3"/>
    <row r="840" customFormat="1" ht="14.4" customHeight="1" x14ac:dyDescent="0.3"/>
    <row r="841" customFormat="1" ht="14.4" customHeight="1" x14ac:dyDescent="0.3"/>
    <row r="842" customFormat="1" ht="14.4" customHeight="1" x14ac:dyDescent="0.3"/>
    <row r="843" customFormat="1" ht="14.4" customHeight="1" x14ac:dyDescent="0.3"/>
    <row r="844" customFormat="1" ht="14.4" customHeight="1" x14ac:dyDescent="0.3"/>
    <row r="845" customFormat="1" ht="14.4" customHeight="1" x14ac:dyDescent="0.3"/>
    <row r="846" customFormat="1" ht="14.4" customHeight="1" x14ac:dyDescent="0.3"/>
    <row r="847" customFormat="1" ht="14.4" customHeight="1" x14ac:dyDescent="0.3"/>
    <row r="848" customFormat="1" ht="14.4" customHeight="1" x14ac:dyDescent="0.3"/>
    <row r="849" customFormat="1" ht="14.4" customHeight="1" x14ac:dyDescent="0.3"/>
    <row r="850" customFormat="1" ht="14.4" customHeight="1" x14ac:dyDescent="0.3"/>
    <row r="851" customFormat="1" ht="14.4" customHeight="1" x14ac:dyDescent="0.3"/>
    <row r="852" customFormat="1" ht="14.4" customHeight="1" x14ac:dyDescent="0.3"/>
    <row r="853" customFormat="1" ht="14.4" customHeight="1" x14ac:dyDescent="0.3"/>
    <row r="854" customFormat="1" ht="14.4" customHeight="1" x14ac:dyDescent="0.3"/>
    <row r="855" customFormat="1" ht="14.4" customHeight="1" x14ac:dyDescent="0.3"/>
    <row r="856" customFormat="1" ht="14.4" customHeight="1" x14ac:dyDescent="0.3"/>
    <row r="857" customFormat="1" ht="14.4" customHeight="1" x14ac:dyDescent="0.3"/>
    <row r="858" customFormat="1" ht="14.4" customHeight="1" x14ac:dyDescent="0.3"/>
    <row r="859" customFormat="1" ht="14.4" customHeight="1" x14ac:dyDescent="0.3"/>
    <row r="860" customFormat="1" ht="14.4" customHeight="1" x14ac:dyDescent="0.3"/>
    <row r="861" customFormat="1" ht="14.4" customHeight="1" x14ac:dyDescent="0.3"/>
    <row r="862" customFormat="1" ht="14.4" customHeight="1" x14ac:dyDescent="0.3"/>
    <row r="863" customFormat="1" ht="14.4" customHeight="1" x14ac:dyDescent="0.3"/>
    <row r="864" customFormat="1" ht="14.4" customHeight="1" x14ac:dyDescent="0.3"/>
    <row r="865" customFormat="1" ht="14.4" customHeight="1" x14ac:dyDescent="0.3"/>
    <row r="866" customFormat="1" ht="14.4" customHeight="1" x14ac:dyDescent="0.3"/>
    <row r="867" customFormat="1" ht="14.4" customHeight="1" x14ac:dyDescent="0.3"/>
    <row r="868" customFormat="1" ht="14.4" customHeight="1" x14ac:dyDescent="0.3"/>
    <row r="869" customFormat="1" ht="14.4" customHeight="1" x14ac:dyDescent="0.3"/>
    <row r="870" customFormat="1" ht="14.4" customHeight="1" x14ac:dyDescent="0.3"/>
    <row r="871" customFormat="1" ht="14.4" customHeight="1" x14ac:dyDescent="0.3"/>
    <row r="872" customFormat="1" ht="14.4" customHeight="1" x14ac:dyDescent="0.3"/>
    <row r="873" customFormat="1" ht="14.4" customHeight="1" x14ac:dyDescent="0.3"/>
    <row r="874" customFormat="1" ht="14.4" customHeight="1" x14ac:dyDescent="0.3"/>
    <row r="875" customFormat="1" ht="14.4" customHeight="1" x14ac:dyDescent="0.3"/>
    <row r="876" customFormat="1" ht="14.4" customHeight="1" x14ac:dyDescent="0.3"/>
    <row r="877" customFormat="1" ht="14.4" customHeight="1" x14ac:dyDescent="0.3"/>
    <row r="878" customFormat="1" ht="14.4" customHeight="1" x14ac:dyDescent="0.3"/>
    <row r="879" customFormat="1" ht="14.4" customHeight="1" x14ac:dyDescent="0.3"/>
    <row r="880" customFormat="1" ht="14.4" customHeight="1" x14ac:dyDescent="0.3"/>
    <row r="881" customFormat="1" ht="14.4" customHeight="1" x14ac:dyDescent="0.3"/>
    <row r="882" customFormat="1" ht="14.4" customHeight="1" x14ac:dyDescent="0.3"/>
    <row r="883" customFormat="1" ht="14.4" customHeight="1" x14ac:dyDescent="0.3"/>
    <row r="884" customFormat="1" ht="14.4" customHeight="1" x14ac:dyDescent="0.3"/>
    <row r="885" customFormat="1" ht="14.4" customHeight="1" x14ac:dyDescent="0.3"/>
    <row r="886" customFormat="1" ht="14.4" customHeight="1" x14ac:dyDescent="0.3"/>
    <row r="887" customFormat="1" ht="14.4" customHeight="1" x14ac:dyDescent="0.3"/>
    <row r="888" customFormat="1" ht="14.4" customHeight="1" x14ac:dyDescent="0.3"/>
    <row r="889" customFormat="1" ht="14.4" customHeight="1" x14ac:dyDescent="0.3"/>
    <row r="890" customFormat="1" ht="14.4" customHeight="1" x14ac:dyDescent="0.3"/>
    <row r="891" customFormat="1" ht="14.4" customHeight="1" x14ac:dyDescent="0.3"/>
    <row r="892" customFormat="1" ht="14.4" customHeight="1" x14ac:dyDescent="0.3"/>
    <row r="893" customFormat="1" ht="14.4" customHeight="1" x14ac:dyDescent="0.3"/>
    <row r="894" customFormat="1" ht="14.4" customHeight="1" x14ac:dyDescent="0.3"/>
    <row r="895" customFormat="1" ht="14.4" customHeight="1" x14ac:dyDescent="0.3"/>
    <row r="896" customFormat="1" ht="14.4" customHeight="1" x14ac:dyDescent="0.3"/>
    <row r="897" customFormat="1" ht="14.4" customHeight="1" x14ac:dyDescent="0.3"/>
    <row r="898" customFormat="1" ht="14.4" customHeight="1" x14ac:dyDescent="0.3"/>
    <row r="899" customFormat="1" ht="14.4" customHeight="1" x14ac:dyDescent="0.3"/>
    <row r="900" customFormat="1" ht="14.4" customHeight="1" x14ac:dyDescent="0.3"/>
    <row r="901" customFormat="1" ht="14.4" customHeight="1" x14ac:dyDescent="0.3"/>
    <row r="902" customFormat="1" ht="14.4" customHeight="1" x14ac:dyDescent="0.3"/>
    <row r="903" customFormat="1" ht="14.4" customHeight="1" x14ac:dyDescent="0.3"/>
    <row r="904" customFormat="1" ht="14.4" customHeight="1" x14ac:dyDescent="0.3"/>
    <row r="905" customFormat="1" ht="14.4" customHeight="1" x14ac:dyDescent="0.3"/>
    <row r="906" customFormat="1" ht="14.4" customHeight="1" x14ac:dyDescent="0.3"/>
    <row r="907" customFormat="1" ht="14.4" customHeight="1" x14ac:dyDescent="0.3"/>
    <row r="908" customFormat="1" ht="14.4" customHeight="1" x14ac:dyDescent="0.3"/>
    <row r="909" customFormat="1" ht="14.4" customHeight="1" x14ac:dyDescent="0.3"/>
    <row r="910" customFormat="1" ht="14.4" customHeight="1" x14ac:dyDescent="0.3"/>
    <row r="911" customFormat="1" ht="14.4" customHeight="1" x14ac:dyDescent="0.3"/>
    <row r="912" customFormat="1" ht="14.4" customHeight="1" x14ac:dyDescent="0.3"/>
    <row r="913" customFormat="1" ht="14.4" customHeight="1" x14ac:dyDescent="0.3"/>
    <row r="914" customFormat="1" ht="14.4" customHeight="1" x14ac:dyDescent="0.3"/>
    <row r="915" customFormat="1" ht="14.4" customHeight="1" x14ac:dyDescent="0.3"/>
    <row r="916" customFormat="1" ht="14.4" customHeight="1" x14ac:dyDescent="0.3"/>
    <row r="917" customFormat="1" ht="14.4" customHeight="1" x14ac:dyDescent="0.3"/>
    <row r="918" customFormat="1" ht="14.4" customHeight="1" x14ac:dyDescent="0.3"/>
    <row r="919" customFormat="1" ht="14.4" customHeight="1" x14ac:dyDescent="0.3"/>
    <row r="920" customFormat="1" ht="14.4" customHeight="1" x14ac:dyDescent="0.3"/>
    <row r="921" customFormat="1" ht="14.4" customHeight="1" x14ac:dyDescent="0.3"/>
    <row r="922" customFormat="1" ht="14.4" customHeight="1" x14ac:dyDescent="0.3"/>
    <row r="923" customFormat="1" ht="14.4" customHeight="1" x14ac:dyDescent="0.3"/>
    <row r="924" customFormat="1" ht="14.4" customHeight="1" x14ac:dyDescent="0.3"/>
    <row r="925" customFormat="1" ht="14.4" customHeight="1" x14ac:dyDescent="0.3"/>
    <row r="926" customFormat="1" ht="14.4" customHeight="1" x14ac:dyDescent="0.3"/>
    <row r="927" customFormat="1" ht="14.4" customHeight="1" x14ac:dyDescent="0.3"/>
    <row r="928" customFormat="1" ht="14.4" customHeight="1" x14ac:dyDescent="0.3"/>
    <row r="929" customFormat="1" ht="14.4" customHeight="1" x14ac:dyDescent="0.3"/>
    <row r="930" customFormat="1" ht="14.4" customHeight="1" x14ac:dyDescent="0.3"/>
    <row r="931" customFormat="1" ht="14.4" customHeight="1" x14ac:dyDescent="0.3"/>
    <row r="932" customFormat="1" ht="14.4" customHeight="1" x14ac:dyDescent="0.3"/>
    <row r="933" customFormat="1" ht="14.4" customHeight="1" x14ac:dyDescent="0.3"/>
    <row r="934" customFormat="1" ht="14.4" customHeight="1" x14ac:dyDescent="0.3"/>
    <row r="935" customFormat="1" ht="14.4" customHeight="1" x14ac:dyDescent="0.3"/>
    <row r="936" customFormat="1" ht="14.4" customHeight="1" x14ac:dyDescent="0.3"/>
    <row r="937" customFormat="1" ht="14.4" customHeight="1" x14ac:dyDescent="0.3"/>
    <row r="938" customFormat="1" ht="14.4" customHeight="1" x14ac:dyDescent="0.3"/>
    <row r="939" customFormat="1" ht="14.4" customHeight="1" x14ac:dyDescent="0.3"/>
    <row r="940" customFormat="1" ht="14.4" customHeight="1" x14ac:dyDescent="0.3"/>
    <row r="941" customFormat="1" ht="14.4" customHeight="1" x14ac:dyDescent="0.3"/>
    <row r="942" customFormat="1" ht="14.4" customHeight="1" x14ac:dyDescent="0.3"/>
    <row r="943" customFormat="1" ht="14.4" customHeight="1" x14ac:dyDescent="0.3"/>
    <row r="944" customFormat="1" ht="14.4" customHeight="1" x14ac:dyDescent="0.3"/>
    <row r="945" customFormat="1" ht="14.4" customHeight="1" x14ac:dyDescent="0.3"/>
    <row r="946" customFormat="1" ht="14.4" customHeight="1" x14ac:dyDescent="0.3"/>
    <row r="947" customFormat="1" ht="14.4" customHeight="1" x14ac:dyDescent="0.3"/>
    <row r="948" customFormat="1" ht="14.4" customHeight="1" x14ac:dyDescent="0.3"/>
    <row r="949" customFormat="1" ht="14.4" customHeight="1" x14ac:dyDescent="0.3"/>
    <row r="950" customFormat="1" ht="14.4" customHeight="1" x14ac:dyDescent="0.3"/>
    <row r="951" customFormat="1" ht="14.4" customHeight="1" x14ac:dyDescent="0.3"/>
    <row r="952" customFormat="1" ht="14.4" customHeight="1" x14ac:dyDescent="0.3"/>
    <row r="953" customFormat="1" ht="14.4" customHeight="1" x14ac:dyDescent="0.3"/>
    <row r="954" customFormat="1" ht="14.4" customHeight="1" x14ac:dyDescent="0.3"/>
    <row r="955" customFormat="1" ht="14.4" customHeight="1" x14ac:dyDescent="0.3"/>
    <row r="956" customFormat="1" ht="14.4" customHeight="1" x14ac:dyDescent="0.3"/>
    <row r="957" customFormat="1" ht="14.4" customHeight="1" x14ac:dyDescent="0.3"/>
    <row r="958" customFormat="1" ht="14.4" customHeight="1" x14ac:dyDescent="0.3"/>
    <row r="959" customFormat="1" ht="14.4" customHeight="1" x14ac:dyDescent="0.3"/>
    <row r="960" customFormat="1" ht="14.4" customHeight="1" x14ac:dyDescent="0.3"/>
    <row r="961" customFormat="1" ht="14.4" customHeight="1" x14ac:dyDescent="0.3"/>
    <row r="962" customFormat="1" ht="14.4" customHeight="1" x14ac:dyDescent="0.3"/>
    <row r="963" customFormat="1" ht="14.4" customHeight="1" x14ac:dyDescent="0.3"/>
    <row r="964" customFormat="1" ht="14.4" customHeight="1" x14ac:dyDescent="0.3"/>
    <row r="965" customFormat="1" ht="14.4" customHeight="1" x14ac:dyDescent="0.3"/>
    <row r="966" customFormat="1" ht="14.4" customHeight="1" x14ac:dyDescent="0.3"/>
    <row r="967" customFormat="1" ht="14.4" customHeight="1" x14ac:dyDescent="0.3"/>
    <row r="968" customFormat="1" ht="14.4" customHeight="1" x14ac:dyDescent="0.3"/>
    <row r="969" customFormat="1" ht="14.4" customHeight="1" x14ac:dyDescent="0.3"/>
    <row r="970" customFormat="1" ht="14.4" customHeight="1" x14ac:dyDescent="0.3"/>
    <row r="971" customFormat="1" ht="14.4" customHeight="1" x14ac:dyDescent="0.3"/>
    <row r="972" customFormat="1" ht="14.4" customHeight="1" x14ac:dyDescent="0.3"/>
    <row r="973" customFormat="1" ht="14.4" customHeight="1" x14ac:dyDescent="0.3"/>
    <row r="974" customFormat="1" ht="14.4" customHeight="1" x14ac:dyDescent="0.3"/>
    <row r="975" customFormat="1" ht="14.4" customHeight="1" x14ac:dyDescent="0.3"/>
    <row r="976" customFormat="1" ht="14.4" customHeight="1" x14ac:dyDescent="0.3"/>
    <row r="977" customFormat="1" ht="14.4" customHeight="1" x14ac:dyDescent="0.3"/>
    <row r="978" customFormat="1" ht="14.4" customHeight="1" x14ac:dyDescent="0.3"/>
    <row r="979" customFormat="1" ht="14.4" customHeight="1" x14ac:dyDescent="0.3"/>
    <row r="980" customFormat="1" ht="14.4" customHeight="1" x14ac:dyDescent="0.3"/>
    <row r="981" customFormat="1" ht="14.4" customHeight="1" x14ac:dyDescent="0.3"/>
    <row r="982" customFormat="1" ht="14.4" customHeight="1" x14ac:dyDescent="0.3"/>
    <row r="983" customFormat="1" ht="14.4" customHeight="1" x14ac:dyDescent="0.3"/>
    <row r="984" customFormat="1" ht="14.4" customHeight="1" x14ac:dyDescent="0.3"/>
    <row r="985" customFormat="1" ht="14.4" customHeight="1" x14ac:dyDescent="0.3"/>
    <row r="986" customFormat="1" ht="14.4" customHeight="1" x14ac:dyDescent="0.3"/>
    <row r="987" customFormat="1" ht="14.4" customHeight="1" x14ac:dyDescent="0.3"/>
    <row r="988" customFormat="1" ht="14.4" customHeight="1" x14ac:dyDescent="0.3"/>
    <row r="989" customFormat="1" ht="14.4" customHeight="1" x14ac:dyDescent="0.3"/>
    <row r="990" customFormat="1" ht="14.4" customHeight="1" x14ac:dyDescent="0.3"/>
    <row r="991" customFormat="1" ht="14.4" customHeight="1" x14ac:dyDescent="0.3"/>
    <row r="992" customFormat="1" ht="14.4" customHeight="1" x14ac:dyDescent="0.3"/>
    <row r="993" customFormat="1" ht="14.4" customHeight="1" x14ac:dyDescent="0.3"/>
    <row r="994" customFormat="1" ht="14.4" customHeight="1" x14ac:dyDescent="0.3"/>
    <row r="995" customFormat="1" ht="14.4" customHeight="1" x14ac:dyDescent="0.3"/>
    <row r="996" customFormat="1" ht="14.4" customHeight="1" x14ac:dyDescent="0.3"/>
    <row r="997" customFormat="1" ht="14.4" customHeight="1" x14ac:dyDescent="0.3"/>
    <row r="998" customFormat="1" ht="14.4" customHeight="1" x14ac:dyDescent="0.3"/>
    <row r="999" customFormat="1" ht="14.4" customHeight="1" x14ac:dyDescent="0.3"/>
    <row r="1000" customFormat="1" ht="14.4" customHeight="1" x14ac:dyDescent="0.3"/>
    <row r="1001" customFormat="1" ht="14.4" customHeight="1" x14ac:dyDescent="0.3"/>
    <row r="1002" customFormat="1" ht="14.4" customHeight="1" x14ac:dyDescent="0.3"/>
    <row r="1003" customFormat="1" ht="14.4" customHeight="1" x14ac:dyDescent="0.3"/>
    <row r="1004" customFormat="1" ht="14.4" customHeight="1" x14ac:dyDescent="0.3"/>
    <row r="1005" customFormat="1" ht="14.4" customHeight="1" x14ac:dyDescent="0.3"/>
    <row r="1006" customFormat="1" ht="14.4" customHeight="1" x14ac:dyDescent="0.3"/>
    <row r="1007" customFormat="1" ht="14.4" customHeight="1" x14ac:dyDescent="0.3"/>
    <row r="1008" customFormat="1" ht="14.4" customHeight="1" x14ac:dyDescent="0.3"/>
    <row r="1009" customFormat="1" ht="14.4" customHeight="1" x14ac:dyDescent="0.3"/>
    <row r="1010" customFormat="1" ht="14.4" customHeight="1" x14ac:dyDescent="0.3"/>
    <row r="1011" customFormat="1" ht="14.4" customHeight="1" x14ac:dyDescent="0.3"/>
    <row r="1012" customFormat="1" ht="14.4" customHeight="1" x14ac:dyDescent="0.3"/>
    <row r="1013" customFormat="1" ht="14.4" customHeight="1" x14ac:dyDescent="0.3"/>
    <row r="1014" customFormat="1" ht="14.4" customHeight="1" x14ac:dyDescent="0.3"/>
    <row r="1015" customFormat="1" ht="14.4" customHeight="1" x14ac:dyDescent="0.3"/>
    <row r="1016" customFormat="1" ht="14.4" customHeight="1" x14ac:dyDescent="0.3"/>
    <row r="1017" customFormat="1" ht="14.4" customHeight="1" x14ac:dyDescent="0.3"/>
    <row r="1018" customFormat="1" ht="14.4" customHeight="1" x14ac:dyDescent="0.3"/>
    <row r="1019" customFormat="1" ht="14.4" customHeight="1" x14ac:dyDescent="0.3"/>
    <row r="1020" customFormat="1" ht="14.4" customHeight="1" x14ac:dyDescent="0.3"/>
    <row r="1021" customFormat="1" ht="14.4" customHeight="1" x14ac:dyDescent="0.3"/>
    <row r="1022" customFormat="1" ht="14.4" customHeight="1" x14ac:dyDescent="0.3"/>
    <row r="1023" customFormat="1" ht="14.4" customHeight="1" x14ac:dyDescent="0.3"/>
    <row r="1024" customFormat="1" ht="14.4" customHeight="1" x14ac:dyDescent="0.3"/>
    <row r="1025" customFormat="1" ht="14.4" customHeight="1" x14ac:dyDescent="0.3"/>
    <row r="1026" customFormat="1" ht="14.4" customHeight="1" x14ac:dyDescent="0.3"/>
    <row r="1027" customFormat="1" ht="14.4" customHeight="1" x14ac:dyDescent="0.3"/>
    <row r="1028" customFormat="1" ht="14.4" customHeight="1" x14ac:dyDescent="0.3"/>
    <row r="1029" customFormat="1" ht="14.4" customHeight="1" x14ac:dyDescent="0.3"/>
    <row r="1030" customFormat="1" ht="14.4" customHeight="1" x14ac:dyDescent="0.3"/>
    <row r="1031" customFormat="1" ht="14.4" customHeight="1" x14ac:dyDescent="0.3"/>
    <row r="1032" customFormat="1" ht="14.4" customHeight="1" x14ac:dyDescent="0.3"/>
    <row r="1033" customFormat="1" ht="14.4" customHeight="1" x14ac:dyDescent="0.3"/>
    <row r="1034" customFormat="1" ht="14.4" customHeight="1" x14ac:dyDescent="0.3"/>
    <row r="1035" customFormat="1" ht="14.4" customHeight="1" x14ac:dyDescent="0.3"/>
    <row r="1036" customFormat="1" ht="14.4" customHeight="1" x14ac:dyDescent="0.3"/>
    <row r="1037" customFormat="1" ht="14.4" customHeight="1" x14ac:dyDescent="0.3"/>
    <row r="1038" customFormat="1" ht="14.4" customHeight="1" x14ac:dyDescent="0.3"/>
    <row r="1039" customFormat="1" ht="14.4" customHeight="1" x14ac:dyDescent="0.3"/>
    <row r="1040" customFormat="1" ht="14.4" customHeight="1" x14ac:dyDescent="0.3"/>
    <row r="1041" customFormat="1" ht="14.4" customHeight="1" x14ac:dyDescent="0.3"/>
    <row r="1042" customFormat="1" ht="14.4" customHeight="1" x14ac:dyDescent="0.3"/>
    <row r="1043" customFormat="1" ht="14.4" customHeight="1" x14ac:dyDescent="0.3"/>
    <row r="1044" customFormat="1" ht="14.4" customHeight="1" x14ac:dyDescent="0.3"/>
    <row r="1045" customFormat="1" ht="14.4" customHeight="1" x14ac:dyDescent="0.3"/>
    <row r="1046" customFormat="1" ht="14.4" customHeight="1" x14ac:dyDescent="0.3"/>
    <row r="1047" customFormat="1" ht="14.4" customHeight="1" x14ac:dyDescent="0.3"/>
    <row r="1048" customFormat="1" ht="14.4" customHeight="1" x14ac:dyDescent="0.3"/>
    <row r="1049" customFormat="1" ht="14.4" customHeight="1" x14ac:dyDescent="0.3"/>
    <row r="1050" customFormat="1" ht="14.4" customHeight="1" x14ac:dyDescent="0.3"/>
    <row r="1051" customFormat="1" ht="14.4" customHeight="1" x14ac:dyDescent="0.3"/>
    <row r="1052" customFormat="1" ht="14.4" customHeight="1" x14ac:dyDescent="0.3"/>
    <row r="1053" customFormat="1" ht="14.4" customHeight="1" x14ac:dyDescent="0.3"/>
    <row r="1054" customFormat="1" ht="14.4" customHeight="1" x14ac:dyDescent="0.3"/>
    <row r="1055" customFormat="1" ht="14.4" customHeight="1" x14ac:dyDescent="0.3"/>
    <row r="1056" customFormat="1" ht="14.4" customHeight="1" x14ac:dyDescent="0.3"/>
    <row r="1057" customFormat="1" ht="14.4" customHeight="1" x14ac:dyDescent="0.3"/>
    <row r="1058" customFormat="1" ht="14.4" customHeight="1" x14ac:dyDescent="0.3"/>
    <row r="1059" customFormat="1" ht="14.4" customHeight="1" x14ac:dyDescent="0.3"/>
    <row r="1060" customFormat="1" ht="14.4" customHeight="1" x14ac:dyDescent="0.3"/>
    <row r="1061" customFormat="1" ht="14.4" customHeight="1" x14ac:dyDescent="0.3"/>
    <row r="1062" customFormat="1" ht="14.4" customHeight="1" x14ac:dyDescent="0.3"/>
    <row r="1063" customFormat="1" ht="14.4" customHeight="1" x14ac:dyDescent="0.3"/>
    <row r="1064" customFormat="1" ht="14.4" customHeight="1" x14ac:dyDescent="0.3"/>
    <row r="1065" customFormat="1" ht="14.4" customHeight="1" x14ac:dyDescent="0.3"/>
    <row r="1066" customFormat="1" ht="14.4" customHeight="1" x14ac:dyDescent="0.3"/>
    <row r="1067" customFormat="1" ht="14.4" customHeight="1" x14ac:dyDescent="0.3"/>
    <row r="1068" customFormat="1" ht="14.4" customHeight="1" x14ac:dyDescent="0.3"/>
    <row r="1069" customFormat="1" ht="14.4" customHeight="1" x14ac:dyDescent="0.3"/>
    <row r="1070" customFormat="1" ht="14.4" customHeight="1" x14ac:dyDescent="0.3"/>
    <row r="1071" customFormat="1" ht="14.4" customHeight="1" x14ac:dyDescent="0.3"/>
    <row r="1072" customFormat="1" ht="14.4" customHeight="1" x14ac:dyDescent="0.3"/>
    <row r="1073" customFormat="1" ht="14.4" customHeight="1" x14ac:dyDescent="0.3"/>
    <row r="1074" customFormat="1" ht="14.4" customHeight="1" x14ac:dyDescent="0.3"/>
    <row r="1075" customFormat="1" ht="14.4" customHeight="1" x14ac:dyDescent="0.3"/>
    <row r="1076" customFormat="1" ht="14.4" customHeight="1" x14ac:dyDescent="0.3"/>
    <row r="1077" customFormat="1" ht="14.4" customHeight="1" x14ac:dyDescent="0.3"/>
    <row r="1078" customFormat="1" ht="14.4" customHeight="1" x14ac:dyDescent="0.3"/>
    <row r="1079" customFormat="1" ht="14.4" customHeight="1" x14ac:dyDescent="0.3"/>
    <row r="1080" customFormat="1" ht="14.4" customHeight="1" x14ac:dyDescent="0.3"/>
    <row r="1081" customFormat="1" ht="14.4" customHeight="1" x14ac:dyDescent="0.3"/>
    <row r="1082" customFormat="1" ht="14.4" customHeight="1" x14ac:dyDescent="0.3"/>
    <row r="1083" customFormat="1" ht="14.4" customHeight="1" x14ac:dyDescent="0.3"/>
    <row r="1084" customFormat="1" ht="14.4" customHeight="1" x14ac:dyDescent="0.3"/>
    <row r="1085" customFormat="1" ht="14.4" customHeight="1" x14ac:dyDescent="0.3"/>
    <row r="1086" customFormat="1" ht="14.4" customHeight="1" x14ac:dyDescent="0.3"/>
    <row r="1087" customFormat="1" ht="14.4" customHeight="1" x14ac:dyDescent="0.3"/>
    <row r="1088" customFormat="1" ht="14.4" customHeight="1" x14ac:dyDescent="0.3"/>
    <row r="1089" customFormat="1" ht="14.4" customHeight="1" x14ac:dyDescent="0.3"/>
    <row r="1090" customFormat="1" ht="14.4" customHeight="1" x14ac:dyDescent="0.3"/>
    <row r="1091" customFormat="1" ht="14.4" customHeight="1" x14ac:dyDescent="0.3"/>
    <row r="1092" customFormat="1" ht="14.4" customHeight="1" x14ac:dyDescent="0.3"/>
    <row r="1093" customFormat="1" ht="14.4" customHeight="1" x14ac:dyDescent="0.3"/>
    <row r="1094" customFormat="1" ht="14.4" customHeight="1" x14ac:dyDescent="0.3"/>
    <row r="1095" customFormat="1" ht="14.4" customHeight="1" x14ac:dyDescent="0.3"/>
    <row r="1096" customFormat="1" ht="14.4" customHeight="1" x14ac:dyDescent="0.3"/>
    <row r="1097" customFormat="1" ht="14.4" customHeight="1" x14ac:dyDescent="0.3"/>
    <row r="1098" customFormat="1" ht="14.4" customHeight="1" x14ac:dyDescent="0.3"/>
    <row r="1099" customFormat="1" ht="14.4" customHeight="1" x14ac:dyDescent="0.3"/>
    <row r="1100" customFormat="1" ht="14.4" customHeight="1" x14ac:dyDescent="0.3"/>
    <row r="1101" customFormat="1" ht="14.4" customHeight="1" x14ac:dyDescent="0.3"/>
    <row r="1102" customFormat="1" ht="14.4" customHeight="1" x14ac:dyDescent="0.3"/>
    <row r="1103" customFormat="1" ht="14.4" customHeight="1" x14ac:dyDescent="0.3"/>
    <row r="1104" customFormat="1" ht="14.4" customHeight="1" x14ac:dyDescent="0.3"/>
    <row r="1105" customFormat="1" ht="14.4" customHeight="1" x14ac:dyDescent="0.3"/>
    <row r="1106" customFormat="1" ht="14.4" customHeight="1" x14ac:dyDescent="0.3"/>
    <row r="1107" customFormat="1" ht="14.4" customHeight="1" x14ac:dyDescent="0.3"/>
    <row r="1108" customFormat="1" ht="14.4" customHeight="1" x14ac:dyDescent="0.3"/>
    <row r="1109" customFormat="1" ht="14.4" customHeight="1" x14ac:dyDescent="0.3"/>
    <row r="1110" customFormat="1" ht="14.4" customHeight="1" x14ac:dyDescent="0.3"/>
    <row r="1111" customFormat="1" ht="14.4" customHeight="1" x14ac:dyDescent="0.3"/>
    <row r="1112" customFormat="1" ht="14.4" customHeight="1" x14ac:dyDescent="0.3"/>
    <row r="1113" customFormat="1" ht="14.4" customHeight="1" x14ac:dyDescent="0.3"/>
    <row r="1114" customFormat="1" ht="14.4" customHeight="1" x14ac:dyDescent="0.3"/>
    <row r="1115" customFormat="1" ht="14.4" customHeight="1" x14ac:dyDescent="0.3"/>
    <row r="1116" customFormat="1" ht="14.4" customHeight="1" x14ac:dyDescent="0.3"/>
    <row r="1117" customFormat="1" ht="14.4" customHeight="1" x14ac:dyDescent="0.3"/>
    <row r="1118" customFormat="1" ht="14.4" customHeight="1" x14ac:dyDescent="0.3"/>
    <row r="1119" customFormat="1" ht="14.4" customHeight="1" x14ac:dyDescent="0.3"/>
    <row r="1120" customFormat="1" ht="14.4" customHeight="1" x14ac:dyDescent="0.3"/>
    <row r="1121" customFormat="1" ht="14.4" customHeight="1" x14ac:dyDescent="0.3"/>
    <row r="1122" customFormat="1" ht="14.4" customHeight="1" x14ac:dyDescent="0.3"/>
    <row r="1123" customFormat="1" ht="14.4" customHeight="1" x14ac:dyDescent="0.3"/>
    <row r="1124" customFormat="1" ht="14.4" customHeight="1" x14ac:dyDescent="0.3"/>
    <row r="1125" customFormat="1" ht="14.4" customHeight="1" x14ac:dyDescent="0.3"/>
    <row r="1126" customFormat="1" ht="14.4" customHeight="1" x14ac:dyDescent="0.3"/>
    <row r="1127" customFormat="1" ht="14.4" customHeight="1" x14ac:dyDescent="0.3"/>
    <row r="1128" customFormat="1" ht="14.4" customHeight="1" x14ac:dyDescent="0.3"/>
    <row r="1129" customFormat="1" ht="14.4" customHeight="1" x14ac:dyDescent="0.3"/>
    <row r="1130" customFormat="1" ht="14.4" customHeight="1" x14ac:dyDescent="0.3"/>
    <row r="1131" customFormat="1" ht="14.4" customHeight="1" x14ac:dyDescent="0.3"/>
    <row r="1132" customFormat="1" ht="14.4" customHeight="1" x14ac:dyDescent="0.3"/>
    <row r="1133" customFormat="1" ht="14.4" customHeight="1" x14ac:dyDescent="0.3"/>
    <row r="1134" customFormat="1" ht="14.4" customHeight="1" x14ac:dyDescent="0.3"/>
    <row r="1135" customFormat="1" ht="14.4" customHeight="1" x14ac:dyDescent="0.3"/>
    <row r="1136" customFormat="1" ht="14.4" customHeight="1" x14ac:dyDescent="0.3"/>
    <row r="1137" customFormat="1" ht="14.4" customHeight="1" x14ac:dyDescent="0.3"/>
    <row r="1138" customFormat="1" ht="14.4" customHeight="1" x14ac:dyDescent="0.3"/>
    <row r="1139" customFormat="1" ht="14.4" customHeight="1" x14ac:dyDescent="0.3"/>
    <row r="1140" customFormat="1" ht="14.4" customHeight="1" x14ac:dyDescent="0.3"/>
    <row r="1141" customFormat="1" ht="14.4" customHeight="1" x14ac:dyDescent="0.3"/>
    <row r="1142" customFormat="1" ht="14.4" customHeight="1" x14ac:dyDescent="0.3"/>
    <row r="1143" customFormat="1" ht="14.4" customHeight="1" x14ac:dyDescent="0.3"/>
    <row r="1144" customFormat="1" ht="14.4" customHeight="1" x14ac:dyDescent="0.3"/>
    <row r="1145" customFormat="1" ht="14.4" customHeight="1" x14ac:dyDescent="0.3"/>
    <row r="1146" customFormat="1" ht="14.4" customHeight="1" x14ac:dyDescent="0.3"/>
    <row r="1147" customFormat="1" ht="14.4" customHeight="1" x14ac:dyDescent="0.3"/>
    <row r="1148" customFormat="1" ht="14.4" customHeight="1" x14ac:dyDescent="0.3"/>
    <row r="1149" customFormat="1" ht="14.4" customHeight="1" x14ac:dyDescent="0.3"/>
    <row r="1150" customFormat="1" ht="14.4" customHeight="1" x14ac:dyDescent="0.3"/>
    <row r="1151" customFormat="1" ht="14.4" customHeight="1" x14ac:dyDescent="0.3"/>
    <row r="1152" customFormat="1" ht="14.4" customHeight="1" x14ac:dyDescent="0.3"/>
    <row r="1153" customFormat="1" ht="14.4" customHeight="1" x14ac:dyDescent="0.3"/>
    <row r="1154" customFormat="1" ht="14.4" customHeight="1" x14ac:dyDescent="0.3"/>
    <row r="1155" customFormat="1" ht="14.4" customHeight="1" x14ac:dyDescent="0.3"/>
    <row r="1156" customFormat="1" ht="14.4" customHeight="1" x14ac:dyDescent="0.3"/>
    <row r="1157" customFormat="1" ht="14.4" customHeight="1" x14ac:dyDescent="0.3"/>
    <row r="1158" customFormat="1" ht="14.4" customHeight="1" x14ac:dyDescent="0.3"/>
    <row r="1159" customFormat="1" ht="14.4" customHeight="1" x14ac:dyDescent="0.3"/>
    <row r="1160" customFormat="1" ht="14.4" customHeight="1" x14ac:dyDescent="0.3"/>
    <row r="1161" customFormat="1" ht="14.4" customHeight="1" x14ac:dyDescent="0.3"/>
    <row r="1162" customFormat="1" ht="14.4" customHeight="1" x14ac:dyDescent="0.3"/>
    <row r="1163" customFormat="1" ht="14.4" customHeight="1" x14ac:dyDescent="0.3"/>
    <row r="1164" customFormat="1" ht="14.4" customHeight="1" x14ac:dyDescent="0.3"/>
    <row r="1165" customFormat="1" ht="14.4" customHeight="1" x14ac:dyDescent="0.3"/>
    <row r="1166" customFormat="1" ht="14.4" customHeight="1" x14ac:dyDescent="0.3"/>
    <row r="1167" customFormat="1" ht="14.4" customHeight="1" x14ac:dyDescent="0.3"/>
    <row r="1168" customFormat="1" ht="14.4" customHeight="1" x14ac:dyDescent="0.3"/>
    <row r="1169" customFormat="1" ht="14.4" customHeight="1" x14ac:dyDescent="0.3"/>
    <row r="1170" customFormat="1" ht="14.4" customHeight="1" x14ac:dyDescent="0.3"/>
    <row r="1171" customFormat="1" ht="14.4" customHeight="1" x14ac:dyDescent="0.3"/>
    <row r="1172" customFormat="1" ht="14.4" customHeight="1" x14ac:dyDescent="0.3"/>
    <row r="1173" customFormat="1" ht="14.4" customHeight="1" x14ac:dyDescent="0.3"/>
    <row r="1174" customFormat="1" ht="14.4" customHeight="1" x14ac:dyDescent="0.3"/>
    <row r="1175" customFormat="1" ht="14.4" customHeight="1" x14ac:dyDescent="0.3"/>
    <row r="1176" customFormat="1" ht="14.4" customHeight="1" x14ac:dyDescent="0.3"/>
    <row r="1177" customFormat="1" ht="14.4" customHeight="1" x14ac:dyDescent="0.3"/>
    <row r="1178" customFormat="1" ht="14.4" customHeight="1" x14ac:dyDescent="0.3"/>
    <row r="1179" customFormat="1" ht="14.4" customHeight="1" x14ac:dyDescent="0.3"/>
    <row r="1180" customFormat="1" ht="14.4" customHeight="1" x14ac:dyDescent="0.3"/>
    <row r="1181" customFormat="1" ht="14.4" customHeight="1" x14ac:dyDescent="0.3"/>
    <row r="1182" customFormat="1" ht="14.4" customHeight="1" x14ac:dyDescent="0.3"/>
    <row r="1183" customFormat="1" ht="14.4" customHeight="1" x14ac:dyDescent="0.3"/>
    <row r="1184" customFormat="1" ht="14.4" customHeight="1" x14ac:dyDescent="0.3"/>
    <row r="1185" customFormat="1" ht="14.4" customHeight="1" x14ac:dyDescent="0.3"/>
    <row r="1186" customFormat="1" ht="14.4" customHeight="1" x14ac:dyDescent="0.3"/>
    <row r="1187" customFormat="1" ht="14.4" customHeight="1" x14ac:dyDescent="0.3"/>
    <row r="1188" customFormat="1" ht="14.4" customHeight="1" x14ac:dyDescent="0.3"/>
    <row r="1189" customFormat="1" ht="14.4" customHeight="1" x14ac:dyDescent="0.3"/>
    <row r="1190" customFormat="1" ht="14.4" customHeight="1" x14ac:dyDescent="0.3"/>
    <row r="1191" customFormat="1" ht="14.4" customHeight="1" x14ac:dyDescent="0.3"/>
    <row r="1192" customFormat="1" ht="14.4" customHeight="1" x14ac:dyDescent="0.3"/>
    <row r="1193" customFormat="1" ht="14.4" customHeight="1" x14ac:dyDescent="0.3"/>
    <row r="1194" customFormat="1" ht="14.4" customHeight="1" x14ac:dyDescent="0.3"/>
    <row r="1195" customFormat="1" ht="14.4" customHeight="1" x14ac:dyDescent="0.3"/>
    <row r="1196" customFormat="1" ht="14.4" customHeight="1" x14ac:dyDescent="0.3"/>
    <row r="1197" customFormat="1" ht="14.4" customHeight="1" x14ac:dyDescent="0.3"/>
    <row r="1198" customFormat="1" ht="14.4" customHeight="1" x14ac:dyDescent="0.3"/>
    <row r="1199" customFormat="1" ht="14.4" customHeight="1" x14ac:dyDescent="0.3"/>
    <row r="1200" customFormat="1" ht="14.4" customHeight="1" x14ac:dyDescent="0.3"/>
    <row r="1201" customFormat="1" ht="14.4" customHeight="1" x14ac:dyDescent="0.3"/>
    <row r="1202" customFormat="1" ht="14.4" customHeight="1" x14ac:dyDescent="0.3"/>
    <row r="1203" customFormat="1" ht="14.4" customHeight="1" x14ac:dyDescent="0.3"/>
    <row r="1204" customFormat="1" ht="14.4" customHeight="1" x14ac:dyDescent="0.3"/>
    <row r="1205" customFormat="1" ht="14.4" customHeight="1" x14ac:dyDescent="0.3"/>
    <row r="1206" customFormat="1" ht="14.4" customHeight="1" x14ac:dyDescent="0.3"/>
    <row r="1207" customFormat="1" ht="14.4" customHeight="1" x14ac:dyDescent="0.3"/>
    <row r="1208" customFormat="1" ht="14.4" customHeight="1" x14ac:dyDescent="0.3"/>
    <row r="1209" customFormat="1" ht="14.4" customHeight="1" x14ac:dyDescent="0.3"/>
    <row r="1210" customFormat="1" ht="14.4" customHeight="1" x14ac:dyDescent="0.3"/>
    <row r="1211" customFormat="1" ht="14.4" customHeight="1" x14ac:dyDescent="0.3"/>
    <row r="1212" customFormat="1" ht="14.4" customHeight="1" x14ac:dyDescent="0.3"/>
    <row r="1213" customFormat="1" ht="14.4" customHeight="1" x14ac:dyDescent="0.3"/>
    <row r="1214" customFormat="1" ht="14.4" customHeight="1" x14ac:dyDescent="0.3"/>
    <row r="1215" customFormat="1" ht="14.4" customHeight="1" x14ac:dyDescent="0.3"/>
    <row r="1216" customFormat="1" ht="14.4" customHeight="1" x14ac:dyDescent="0.3"/>
    <row r="1217" customFormat="1" ht="14.4" customHeight="1" x14ac:dyDescent="0.3"/>
    <row r="1218" customFormat="1" ht="14.4" customHeight="1" x14ac:dyDescent="0.3"/>
    <row r="1219" customFormat="1" ht="14.4" customHeight="1" x14ac:dyDescent="0.3"/>
    <row r="1220" customFormat="1" ht="14.4" customHeight="1" x14ac:dyDescent="0.3"/>
    <row r="1221" customFormat="1" ht="14.4" customHeight="1" x14ac:dyDescent="0.3"/>
    <row r="1222" customFormat="1" ht="14.4" customHeight="1" x14ac:dyDescent="0.3"/>
    <row r="1223" customFormat="1" ht="14.4" customHeight="1" x14ac:dyDescent="0.3"/>
    <row r="1224" customFormat="1" ht="14.4" customHeight="1" x14ac:dyDescent="0.3"/>
    <row r="1225" customFormat="1" ht="14.4" customHeight="1" x14ac:dyDescent="0.3"/>
    <row r="1226" customFormat="1" ht="14.4" customHeight="1" x14ac:dyDescent="0.3"/>
    <row r="1227" customFormat="1" ht="14.4" customHeight="1" x14ac:dyDescent="0.3"/>
    <row r="1228" customFormat="1" ht="14.4" customHeight="1" x14ac:dyDescent="0.3"/>
    <row r="1229" customFormat="1" ht="14.4" customHeight="1" x14ac:dyDescent="0.3"/>
    <row r="1230" customFormat="1" ht="14.4" customHeight="1" x14ac:dyDescent="0.3"/>
    <row r="1231" customFormat="1" ht="14.4" customHeight="1" x14ac:dyDescent="0.3"/>
    <row r="1232" customFormat="1" ht="14.4" customHeight="1" x14ac:dyDescent="0.3"/>
    <row r="1233" customFormat="1" ht="14.4" customHeight="1" x14ac:dyDescent="0.3"/>
    <row r="1234" customFormat="1" ht="14.4" customHeight="1" x14ac:dyDescent="0.3"/>
    <row r="1235" customFormat="1" ht="14.4" customHeight="1" x14ac:dyDescent="0.3"/>
    <row r="1236" customFormat="1" ht="14.4" customHeight="1" x14ac:dyDescent="0.3"/>
    <row r="1237" customFormat="1" ht="14.4" customHeight="1" x14ac:dyDescent="0.3"/>
    <row r="1238" customFormat="1" ht="14.4" customHeight="1" x14ac:dyDescent="0.3"/>
    <row r="1239" customFormat="1" ht="14.4" customHeight="1" x14ac:dyDescent="0.3"/>
    <row r="1240" customFormat="1" ht="14.4" customHeight="1" x14ac:dyDescent="0.3"/>
    <row r="1241" customFormat="1" ht="14.4" customHeight="1" x14ac:dyDescent="0.3"/>
    <row r="1242" customFormat="1" ht="14.4" customHeight="1" x14ac:dyDescent="0.3"/>
    <row r="1243" customFormat="1" ht="14.4" customHeight="1" x14ac:dyDescent="0.3"/>
    <row r="1244" customFormat="1" ht="14.4" customHeight="1" x14ac:dyDescent="0.3"/>
    <row r="1245" customFormat="1" ht="14.4" customHeight="1" x14ac:dyDescent="0.3"/>
    <row r="1246" customFormat="1" ht="14.4" customHeight="1" x14ac:dyDescent="0.3"/>
    <row r="1247" customFormat="1" ht="14.4" customHeight="1" x14ac:dyDescent="0.3"/>
    <row r="1248" customFormat="1" ht="14.4" customHeight="1" x14ac:dyDescent="0.3"/>
    <row r="1249" customFormat="1" ht="14.4" customHeight="1" x14ac:dyDescent="0.3"/>
    <row r="1250" customFormat="1" ht="14.4" customHeight="1" x14ac:dyDescent="0.3"/>
    <row r="1251" customFormat="1" ht="14.4" customHeight="1" x14ac:dyDescent="0.3"/>
    <row r="1252" customFormat="1" ht="14.4" customHeight="1" x14ac:dyDescent="0.3"/>
    <row r="1253" customFormat="1" ht="14.4" customHeight="1" x14ac:dyDescent="0.3"/>
    <row r="1254" customFormat="1" ht="14.4" customHeight="1" x14ac:dyDescent="0.3"/>
    <row r="1255" customFormat="1" ht="14.4" customHeight="1" x14ac:dyDescent="0.3"/>
    <row r="1256" customFormat="1" ht="14.4" customHeight="1" x14ac:dyDescent="0.3"/>
    <row r="1257" customFormat="1" ht="14.4" customHeight="1" x14ac:dyDescent="0.3"/>
    <row r="1258" customFormat="1" ht="14.4" customHeight="1" x14ac:dyDescent="0.3"/>
    <row r="1259" customFormat="1" ht="14.4" customHeight="1" x14ac:dyDescent="0.3"/>
    <row r="1260" customFormat="1" ht="14.4" customHeight="1" x14ac:dyDescent="0.3"/>
    <row r="1261" customFormat="1" ht="14.4" customHeight="1" x14ac:dyDescent="0.3"/>
    <row r="1262" customFormat="1" ht="14.4" customHeight="1" x14ac:dyDescent="0.3"/>
    <row r="1263" customFormat="1" ht="14.4" customHeight="1" x14ac:dyDescent="0.3"/>
    <row r="1264" customFormat="1" ht="14.4" customHeight="1" x14ac:dyDescent="0.3"/>
    <row r="1265" customFormat="1" ht="14.4" customHeight="1" x14ac:dyDescent="0.3"/>
    <row r="1266" customFormat="1" ht="14.4" customHeight="1" x14ac:dyDescent="0.3"/>
    <row r="1267" customFormat="1" ht="14.4" customHeight="1" x14ac:dyDescent="0.3"/>
    <row r="1268" customFormat="1" ht="14.4" customHeight="1" x14ac:dyDescent="0.3"/>
    <row r="1269" customFormat="1" ht="14.4" customHeight="1" x14ac:dyDescent="0.3"/>
    <row r="1270" customFormat="1" ht="14.4" customHeight="1" x14ac:dyDescent="0.3"/>
    <row r="1271" customFormat="1" ht="14.4" customHeight="1" x14ac:dyDescent="0.3"/>
    <row r="1272" customFormat="1" ht="14.4" customHeight="1" x14ac:dyDescent="0.3"/>
    <row r="1273" customFormat="1" ht="14.4" customHeight="1" x14ac:dyDescent="0.3"/>
    <row r="1274" customFormat="1" ht="14.4" customHeight="1" x14ac:dyDescent="0.3"/>
    <row r="1275" customFormat="1" ht="14.4" customHeight="1" x14ac:dyDescent="0.3"/>
    <row r="1276" customFormat="1" ht="14.4" customHeight="1" x14ac:dyDescent="0.3"/>
    <row r="1277" customFormat="1" ht="14.4" customHeight="1" x14ac:dyDescent="0.3"/>
    <row r="1278" customFormat="1" ht="14.4" customHeight="1" x14ac:dyDescent="0.3"/>
    <row r="1279" customFormat="1" ht="14.4" customHeight="1" x14ac:dyDescent="0.3"/>
    <row r="1280" customFormat="1" ht="14.4" customHeight="1" x14ac:dyDescent="0.3"/>
    <row r="1281" customFormat="1" ht="14.4" customHeight="1" x14ac:dyDescent="0.3"/>
    <row r="1282" customFormat="1" ht="14.4" customHeight="1" x14ac:dyDescent="0.3"/>
    <row r="1283" customFormat="1" ht="14.4" customHeight="1" x14ac:dyDescent="0.3"/>
    <row r="1284" customFormat="1" ht="14.4" customHeight="1" x14ac:dyDescent="0.3"/>
    <row r="1285" customFormat="1" ht="14.4" customHeight="1" x14ac:dyDescent="0.3"/>
    <row r="1286" customFormat="1" ht="14.4" customHeight="1" x14ac:dyDescent="0.3"/>
    <row r="1287" customFormat="1" ht="14.4" customHeight="1" x14ac:dyDescent="0.3"/>
    <row r="1288" customFormat="1" ht="14.4" customHeight="1" x14ac:dyDescent="0.3"/>
    <row r="1289" customFormat="1" ht="14.4" customHeight="1" x14ac:dyDescent="0.3"/>
    <row r="1290" customFormat="1" ht="14.4" customHeight="1" x14ac:dyDescent="0.3"/>
    <row r="1291" customFormat="1" ht="14.4" customHeight="1" x14ac:dyDescent="0.3"/>
    <row r="1292" customFormat="1" ht="14.4" customHeight="1" x14ac:dyDescent="0.3"/>
    <row r="1293" customFormat="1" ht="14.4" customHeight="1" x14ac:dyDescent="0.3"/>
    <row r="1294" customFormat="1" ht="14.4" customHeight="1" x14ac:dyDescent="0.3"/>
    <row r="1295" customFormat="1" ht="14.4" customHeight="1" x14ac:dyDescent="0.3"/>
    <row r="1296" customFormat="1" ht="14.4" customHeight="1" x14ac:dyDescent="0.3"/>
    <row r="1297" customFormat="1" ht="14.4" customHeight="1" x14ac:dyDescent="0.3"/>
    <row r="1298" customFormat="1" ht="14.4" customHeight="1" x14ac:dyDescent="0.3"/>
    <row r="1299" customFormat="1" ht="14.4" customHeight="1" x14ac:dyDescent="0.3"/>
    <row r="1300" customFormat="1" ht="14.4" customHeight="1" x14ac:dyDescent="0.3"/>
    <row r="1301" customFormat="1" ht="14.4" customHeight="1" x14ac:dyDescent="0.3"/>
    <row r="1302" customFormat="1" ht="14.4" customHeight="1" x14ac:dyDescent="0.3"/>
    <row r="1303" customFormat="1" ht="14.4" customHeight="1" x14ac:dyDescent="0.3"/>
    <row r="1304" customFormat="1" ht="14.4" customHeight="1" x14ac:dyDescent="0.3"/>
    <row r="1305" customFormat="1" ht="14.4" customHeight="1" x14ac:dyDescent="0.3"/>
    <row r="1306" customFormat="1" ht="14.4" customHeight="1" x14ac:dyDescent="0.3"/>
    <row r="1307" customFormat="1" ht="14.4" customHeight="1" x14ac:dyDescent="0.3"/>
    <row r="1308" customFormat="1" ht="14.4" customHeight="1" x14ac:dyDescent="0.3"/>
    <row r="1309" customFormat="1" ht="14.4" customHeight="1" x14ac:dyDescent="0.3"/>
    <row r="1310" customFormat="1" ht="14.4" customHeight="1" x14ac:dyDescent="0.3"/>
    <row r="1311" customFormat="1" ht="14.4" customHeight="1" x14ac:dyDescent="0.3"/>
    <row r="1312" customFormat="1" ht="14.4" customHeight="1" x14ac:dyDescent="0.3"/>
    <row r="1313" customFormat="1" ht="14.4" customHeight="1" x14ac:dyDescent="0.3"/>
    <row r="1314" customFormat="1" ht="14.4" customHeight="1" x14ac:dyDescent="0.3"/>
    <row r="1315" customFormat="1" ht="14.4" customHeight="1" x14ac:dyDescent="0.3"/>
    <row r="1316" customFormat="1" ht="14.4" customHeight="1" x14ac:dyDescent="0.3"/>
    <row r="1317" customFormat="1" ht="14.4" customHeight="1" x14ac:dyDescent="0.3"/>
    <row r="1318" customFormat="1" ht="14.4" customHeight="1" x14ac:dyDescent="0.3"/>
    <row r="1319" customFormat="1" ht="14.4" customHeight="1" x14ac:dyDescent="0.3"/>
    <row r="1320" customFormat="1" ht="14.4" customHeight="1" x14ac:dyDescent="0.3"/>
    <row r="1321" customFormat="1" ht="14.4" customHeight="1" x14ac:dyDescent="0.3"/>
    <row r="1322" customFormat="1" ht="14.4" customHeight="1" x14ac:dyDescent="0.3"/>
    <row r="1323" customFormat="1" ht="14.4" customHeight="1" x14ac:dyDescent="0.3"/>
    <row r="1324" customFormat="1" ht="14.4" customHeight="1" x14ac:dyDescent="0.3"/>
    <row r="1325" customFormat="1" ht="14.4" customHeight="1" x14ac:dyDescent="0.3"/>
    <row r="1326" customFormat="1" ht="14.4" customHeight="1" x14ac:dyDescent="0.3"/>
    <row r="1327" customFormat="1" ht="14.4" customHeight="1" x14ac:dyDescent="0.3"/>
    <row r="1328" customFormat="1" ht="14.4" customHeight="1" x14ac:dyDescent="0.3"/>
    <row r="1329" customFormat="1" ht="14.4" customHeight="1" x14ac:dyDescent="0.3"/>
    <row r="1330" customFormat="1" ht="14.4" customHeight="1" x14ac:dyDescent="0.3"/>
    <row r="1331" customFormat="1" ht="14.4" customHeight="1" x14ac:dyDescent="0.3"/>
    <row r="1332" customFormat="1" ht="14.4" customHeight="1" x14ac:dyDescent="0.3"/>
    <row r="1333" customFormat="1" ht="14.4" customHeight="1" x14ac:dyDescent="0.3"/>
    <row r="1334" customFormat="1" ht="14.4" customHeight="1" x14ac:dyDescent="0.3"/>
    <row r="1335" customFormat="1" ht="14.4" customHeight="1" x14ac:dyDescent="0.3"/>
    <row r="1336" customFormat="1" ht="14.4" customHeight="1" x14ac:dyDescent="0.3"/>
    <row r="1337" customFormat="1" ht="14.4" customHeight="1" x14ac:dyDescent="0.3"/>
    <row r="1338" customFormat="1" ht="14.4" customHeight="1" x14ac:dyDescent="0.3"/>
    <row r="1339" customFormat="1" ht="14.4" customHeight="1" x14ac:dyDescent="0.3"/>
    <row r="1340" customFormat="1" ht="14.4" customHeight="1" x14ac:dyDescent="0.3"/>
    <row r="1341" customFormat="1" ht="14.4" customHeight="1" x14ac:dyDescent="0.3"/>
    <row r="1342" customFormat="1" ht="14.4" customHeight="1" x14ac:dyDescent="0.3"/>
    <row r="1343" customFormat="1" ht="14.4" customHeight="1" x14ac:dyDescent="0.3"/>
    <row r="1344" customFormat="1" ht="14.4" customHeight="1" x14ac:dyDescent="0.3"/>
    <row r="1345" customFormat="1" ht="14.4" customHeight="1" x14ac:dyDescent="0.3"/>
    <row r="1346" customFormat="1" ht="14.4" customHeight="1" x14ac:dyDescent="0.3"/>
    <row r="1347" customFormat="1" ht="14.4" customHeight="1" x14ac:dyDescent="0.3"/>
    <row r="1348" customFormat="1" ht="14.4" customHeight="1" x14ac:dyDescent="0.3"/>
    <row r="1349" customFormat="1" ht="14.4" customHeight="1" x14ac:dyDescent="0.3"/>
    <row r="1350" customFormat="1" ht="14.4" customHeight="1" x14ac:dyDescent="0.3"/>
    <row r="1351" customFormat="1" ht="14.4" customHeight="1" x14ac:dyDescent="0.3"/>
    <row r="1352" customFormat="1" ht="14.4" customHeight="1" x14ac:dyDescent="0.3"/>
    <row r="1353" customFormat="1" ht="14.4" customHeight="1" x14ac:dyDescent="0.3"/>
    <row r="1354" customFormat="1" ht="14.4" customHeight="1" x14ac:dyDescent="0.3"/>
    <row r="1355" customFormat="1" ht="14.4" customHeight="1" x14ac:dyDescent="0.3"/>
    <row r="1356" customFormat="1" ht="14.4" customHeight="1" x14ac:dyDescent="0.3"/>
    <row r="1357" customFormat="1" ht="14.4" customHeight="1" x14ac:dyDescent="0.3"/>
    <row r="1358" customFormat="1" ht="14.4" customHeight="1" x14ac:dyDescent="0.3"/>
    <row r="1359" customFormat="1" ht="14.4" customHeight="1" x14ac:dyDescent="0.3"/>
    <row r="1360" customFormat="1" ht="14.4" customHeight="1" x14ac:dyDescent="0.3"/>
    <row r="1361" customFormat="1" ht="14.4" customHeight="1" x14ac:dyDescent="0.3"/>
    <row r="1362" customFormat="1" ht="14.4" customHeight="1" x14ac:dyDescent="0.3"/>
    <row r="1363" customFormat="1" ht="14.4" customHeight="1" x14ac:dyDescent="0.3"/>
    <row r="1364" customFormat="1" ht="14.4" customHeight="1" x14ac:dyDescent="0.3"/>
    <row r="1365" customFormat="1" ht="14.4" customHeight="1" x14ac:dyDescent="0.3"/>
    <row r="1366" customFormat="1" ht="14.4" customHeight="1" x14ac:dyDescent="0.3"/>
    <row r="1367" customFormat="1" ht="14.4" customHeight="1" x14ac:dyDescent="0.3"/>
    <row r="1368" customFormat="1" ht="14.4" customHeight="1" x14ac:dyDescent="0.3"/>
    <row r="1369" customFormat="1" ht="14.4" customHeight="1" x14ac:dyDescent="0.3"/>
    <row r="1370" customFormat="1" ht="14.4" customHeight="1" x14ac:dyDescent="0.3"/>
    <row r="1371" customFormat="1" ht="14.4" customHeight="1" x14ac:dyDescent="0.3"/>
    <row r="1372" customFormat="1" ht="14.4" customHeight="1" x14ac:dyDescent="0.3"/>
    <row r="1373" customFormat="1" ht="14.4" customHeight="1" x14ac:dyDescent="0.3"/>
    <row r="1374" customFormat="1" ht="14.4" customHeight="1" x14ac:dyDescent="0.3"/>
    <row r="1375" customFormat="1" ht="14.4" customHeight="1" x14ac:dyDescent="0.3"/>
    <row r="1376" customFormat="1" ht="14.4" customHeight="1" x14ac:dyDescent="0.3"/>
    <row r="1377" customFormat="1" ht="14.4" customHeight="1" x14ac:dyDescent="0.3"/>
    <row r="1378" customFormat="1" ht="14.4" customHeight="1" x14ac:dyDescent="0.3"/>
    <row r="1379" customFormat="1" ht="14.4" customHeight="1" x14ac:dyDescent="0.3"/>
    <row r="1380" customFormat="1" ht="14.4" customHeight="1" x14ac:dyDescent="0.3"/>
    <row r="1381" customFormat="1" ht="14.4" customHeight="1" x14ac:dyDescent="0.3"/>
    <row r="1382" customFormat="1" ht="14.4" customHeight="1" x14ac:dyDescent="0.3"/>
    <row r="1383" customFormat="1" ht="14.4" customHeight="1" x14ac:dyDescent="0.3"/>
    <row r="1384" customFormat="1" ht="14.4" customHeight="1" x14ac:dyDescent="0.3"/>
    <row r="1385" customFormat="1" ht="14.4" customHeight="1" x14ac:dyDescent="0.3"/>
    <row r="1386" customFormat="1" ht="14.4" customHeight="1" x14ac:dyDescent="0.3"/>
    <row r="1387" customFormat="1" ht="14.4" customHeight="1" x14ac:dyDescent="0.3"/>
    <row r="1388" customFormat="1" ht="14.4" customHeight="1" x14ac:dyDescent="0.3"/>
    <row r="1389" customFormat="1" ht="14.4" customHeight="1" x14ac:dyDescent="0.3"/>
    <row r="1390" customFormat="1" ht="14.4" customHeight="1" x14ac:dyDescent="0.3"/>
    <row r="1391" customFormat="1" ht="14.4" customHeight="1" x14ac:dyDescent="0.3"/>
    <row r="1392" customFormat="1" ht="14.4" customHeight="1" x14ac:dyDescent="0.3"/>
    <row r="1393" customFormat="1" ht="14.4" customHeight="1" x14ac:dyDescent="0.3"/>
    <row r="1394" customFormat="1" ht="14.4" customHeight="1" x14ac:dyDescent="0.3"/>
    <row r="1395" customFormat="1" ht="14.4" customHeight="1" x14ac:dyDescent="0.3"/>
    <row r="1396" customFormat="1" ht="14.4" customHeight="1" x14ac:dyDescent="0.3"/>
    <row r="1397" customFormat="1" ht="14.4" customHeight="1" x14ac:dyDescent="0.3"/>
    <row r="1398" customFormat="1" ht="14.4" customHeight="1" x14ac:dyDescent="0.3"/>
    <row r="1399" customFormat="1" ht="14.4" customHeight="1" x14ac:dyDescent="0.3"/>
    <row r="1400" customFormat="1" ht="14.4" customHeight="1" x14ac:dyDescent="0.3"/>
    <row r="1401" customFormat="1" ht="14.4" customHeight="1" x14ac:dyDescent="0.3"/>
    <row r="1402" customFormat="1" ht="14.4" customHeight="1" x14ac:dyDescent="0.3"/>
    <row r="1403" customFormat="1" ht="14.4" customHeight="1" x14ac:dyDescent="0.3"/>
    <row r="1404" customFormat="1" ht="14.4" customHeight="1" x14ac:dyDescent="0.3"/>
    <row r="1405" customFormat="1" ht="14.4" customHeight="1" x14ac:dyDescent="0.3"/>
    <row r="1406" customFormat="1" ht="14.4" customHeight="1" x14ac:dyDescent="0.3"/>
    <row r="1407" customFormat="1" ht="14.4" customHeight="1" x14ac:dyDescent="0.3"/>
    <row r="1408" customFormat="1" ht="14.4" customHeight="1" x14ac:dyDescent="0.3"/>
    <row r="1409" customFormat="1" ht="14.4" customHeight="1" x14ac:dyDescent="0.3"/>
    <row r="1410" customFormat="1" ht="14.4" customHeight="1" x14ac:dyDescent="0.3"/>
    <row r="1411" customFormat="1" ht="14.4" customHeight="1" x14ac:dyDescent="0.3"/>
    <row r="1412" customFormat="1" ht="14.4" customHeight="1" x14ac:dyDescent="0.3"/>
    <row r="1413" customFormat="1" ht="14.4" customHeight="1" x14ac:dyDescent="0.3"/>
    <row r="1414" customFormat="1" ht="14.4" customHeight="1" x14ac:dyDescent="0.3"/>
    <row r="1415" customFormat="1" ht="14.4" customHeight="1" x14ac:dyDescent="0.3"/>
    <row r="1416" customFormat="1" ht="14.4" customHeight="1" x14ac:dyDescent="0.3"/>
    <row r="1417" customFormat="1" ht="14.4" customHeight="1" x14ac:dyDescent="0.3"/>
    <row r="1418" customFormat="1" ht="14.4" customHeight="1" x14ac:dyDescent="0.3"/>
    <row r="1419" customFormat="1" ht="14.4" customHeight="1" x14ac:dyDescent="0.3"/>
    <row r="1420" customFormat="1" ht="14.4" customHeight="1" x14ac:dyDescent="0.3"/>
    <row r="1421" customFormat="1" ht="14.4" customHeight="1" x14ac:dyDescent="0.3"/>
    <row r="1422" customFormat="1" ht="14.4" customHeight="1" x14ac:dyDescent="0.3"/>
    <row r="1423" customFormat="1" ht="14.4" customHeight="1" x14ac:dyDescent="0.3"/>
    <row r="1424" customFormat="1" ht="14.4" customHeight="1" x14ac:dyDescent="0.3"/>
    <row r="1425" customFormat="1" ht="14.4" customHeight="1" x14ac:dyDescent="0.3"/>
    <row r="1426" customFormat="1" ht="14.4" customHeight="1" x14ac:dyDescent="0.3"/>
    <row r="1427" customFormat="1" ht="14.4" customHeight="1" x14ac:dyDescent="0.3"/>
    <row r="1428" customFormat="1" ht="14.4" customHeight="1" x14ac:dyDescent="0.3"/>
    <row r="1429" customFormat="1" ht="14.4" customHeight="1" x14ac:dyDescent="0.3"/>
    <row r="1430" customFormat="1" ht="14.4" customHeight="1" x14ac:dyDescent="0.3"/>
    <row r="1431" customFormat="1" ht="14.4" customHeight="1" x14ac:dyDescent="0.3"/>
    <row r="1432" customFormat="1" ht="14.4" customHeight="1" x14ac:dyDescent="0.3"/>
    <row r="1433" customFormat="1" ht="14.4" customHeight="1" x14ac:dyDescent="0.3"/>
    <row r="1434" customFormat="1" ht="14.4" customHeight="1" x14ac:dyDescent="0.3"/>
    <row r="1435" customFormat="1" ht="14.4" customHeight="1" x14ac:dyDescent="0.3"/>
    <row r="1436" customFormat="1" ht="14.4" customHeight="1" x14ac:dyDescent="0.3"/>
    <row r="1437" customFormat="1" ht="14.4" customHeight="1" x14ac:dyDescent="0.3"/>
    <row r="1438" customFormat="1" ht="14.4" customHeight="1" x14ac:dyDescent="0.3"/>
    <row r="1439" customFormat="1" ht="14.4" customHeight="1" x14ac:dyDescent="0.3"/>
    <row r="1440" customFormat="1" ht="14.4" customHeight="1" x14ac:dyDescent="0.3"/>
    <row r="1441" customFormat="1" ht="14.4" customHeight="1" x14ac:dyDescent="0.3"/>
    <row r="1442" customFormat="1" ht="14.4" customHeight="1" x14ac:dyDescent="0.3"/>
    <row r="1443" customFormat="1" ht="14.4" customHeight="1" x14ac:dyDescent="0.3"/>
    <row r="1444" customFormat="1" ht="14.4" customHeight="1" x14ac:dyDescent="0.3"/>
    <row r="1445" customFormat="1" ht="14.4" customHeight="1" x14ac:dyDescent="0.3"/>
    <row r="1446" customFormat="1" ht="14.4" customHeight="1" x14ac:dyDescent="0.3"/>
    <row r="1447" customFormat="1" ht="14.4" customHeight="1" x14ac:dyDescent="0.3"/>
    <row r="1448" customFormat="1" ht="14.4" customHeight="1" x14ac:dyDescent="0.3"/>
    <row r="1449" customFormat="1" ht="14.4" customHeight="1" x14ac:dyDescent="0.3"/>
    <row r="1450" customFormat="1" ht="14.4" customHeight="1" x14ac:dyDescent="0.3"/>
    <row r="1451" customFormat="1" ht="14.4" customHeight="1" x14ac:dyDescent="0.3"/>
    <row r="1452" customFormat="1" ht="14.4" customHeight="1" x14ac:dyDescent="0.3"/>
    <row r="1453" customFormat="1" ht="14.4" customHeight="1" x14ac:dyDescent="0.3"/>
    <row r="1454" customFormat="1" ht="14.4" customHeight="1" x14ac:dyDescent="0.3"/>
    <row r="1455" customFormat="1" ht="14.4" customHeight="1" x14ac:dyDescent="0.3"/>
    <row r="1456" customFormat="1" ht="14.4" customHeight="1" x14ac:dyDescent="0.3"/>
    <row r="1457" customFormat="1" ht="14.4" customHeight="1" x14ac:dyDescent="0.3"/>
    <row r="1458" customFormat="1" ht="14.4" customHeight="1" x14ac:dyDescent="0.3"/>
    <row r="1459" customFormat="1" ht="14.4" customHeight="1" x14ac:dyDescent="0.3"/>
    <row r="1460" customFormat="1" ht="14.4" customHeight="1" x14ac:dyDescent="0.3"/>
    <row r="1461" customFormat="1" ht="14.4" customHeight="1" x14ac:dyDescent="0.3"/>
    <row r="1462" customFormat="1" ht="14.4" customHeight="1" x14ac:dyDescent="0.3"/>
    <row r="1463" customFormat="1" ht="14.4" customHeight="1" x14ac:dyDescent="0.3"/>
    <row r="1464" customFormat="1" ht="14.4" customHeight="1" x14ac:dyDescent="0.3"/>
    <row r="1465" customFormat="1" ht="14.4" customHeight="1" x14ac:dyDescent="0.3"/>
    <row r="1466" customFormat="1" ht="14.4" customHeight="1" x14ac:dyDescent="0.3"/>
    <row r="1467" customFormat="1" ht="14.4" customHeight="1" x14ac:dyDescent="0.3"/>
    <row r="1468" customFormat="1" ht="14.4" customHeight="1" x14ac:dyDescent="0.3"/>
    <row r="1469" customFormat="1" ht="14.4" customHeight="1" x14ac:dyDescent="0.3"/>
    <row r="1470" customFormat="1" ht="14.4" customHeight="1" x14ac:dyDescent="0.3"/>
    <row r="1471" customFormat="1" ht="14.4" customHeight="1" x14ac:dyDescent="0.3"/>
    <row r="1472" customFormat="1" ht="14.4" customHeight="1" x14ac:dyDescent="0.3"/>
    <row r="1473" customFormat="1" ht="14.4" customHeight="1" x14ac:dyDescent="0.3"/>
    <row r="1474" customFormat="1" ht="14.4" customHeight="1" x14ac:dyDescent="0.3"/>
    <row r="1475" customFormat="1" ht="14.4" customHeight="1" x14ac:dyDescent="0.3"/>
    <row r="1476" customFormat="1" ht="14.4" customHeight="1" x14ac:dyDescent="0.3"/>
    <row r="1477" customFormat="1" ht="14.4" customHeight="1" x14ac:dyDescent="0.3"/>
    <row r="1478" customFormat="1" ht="14.4" customHeight="1" x14ac:dyDescent="0.3"/>
    <row r="1479" customFormat="1" ht="14.4" customHeight="1" x14ac:dyDescent="0.3"/>
    <row r="1480" customFormat="1" ht="14.4" customHeight="1" x14ac:dyDescent="0.3"/>
    <row r="1481" customFormat="1" ht="14.4" customHeight="1" x14ac:dyDescent="0.3"/>
    <row r="1482" customFormat="1" ht="14.4" customHeight="1" x14ac:dyDescent="0.3"/>
    <row r="1483" customFormat="1" ht="14.4" customHeight="1" x14ac:dyDescent="0.3"/>
    <row r="1484" customFormat="1" ht="14.4" customHeight="1" x14ac:dyDescent="0.3"/>
    <row r="1485" customFormat="1" ht="14.4" customHeight="1" x14ac:dyDescent="0.3"/>
    <row r="1486" customFormat="1" ht="14.4" customHeight="1" x14ac:dyDescent="0.3"/>
    <row r="1487" customFormat="1" ht="14.4" customHeight="1" x14ac:dyDescent="0.3"/>
    <row r="1488" customFormat="1" ht="14.4" customHeight="1" x14ac:dyDescent="0.3"/>
    <row r="1489" customFormat="1" ht="14.4" customHeight="1" x14ac:dyDescent="0.3"/>
    <row r="1490" customFormat="1" ht="14.4" customHeight="1" x14ac:dyDescent="0.3"/>
    <row r="1491" customFormat="1" ht="14.4" customHeight="1" x14ac:dyDescent="0.3"/>
    <row r="1492" customFormat="1" ht="14.4" customHeight="1" x14ac:dyDescent="0.3"/>
    <row r="1493" customFormat="1" ht="14.4" customHeight="1" x14ac:dyDescent="0.3"/>
    <row r="1494" customFormat="1" ht="14.4" customHeight="1" x14ac:dyDescent="0.3"/>
    <row r="1495" customFormat="1" ht="14.4" customHeight="1" x14ac:dyDescent="0.3"/>
    <row r="1496" customFormat="1" ht="14.4" customHeight="1" x14ac:dyDescent="0.3"/>
    <row r="1497" customFormat="1" ht="14.4" customHeight="1" x14ac:dyDescent="0.3"/>
    <row r="1498" customFormat="1" ht="14.4" customHeight="1" x14ac:dyDescent="0.3"/>
    <row r="1499" customFormat="1" ht="14.4" customHeight="1" x14ac:dyDescent="0.3"/>
    <row r="1500" customFormat="1" ht="14.4" customHeight="1" x14ac:dyDescent="0.3"/>
    <row r="1501" customFormat="1" ht="14.4" customHeight="1" x14ac:dyDescent="0.3"/>
    <row r="1502" customFormat="1" ht="14.4" customHeight="1" x14ac:dyDescent="0.3"/>
    <row r="1503" customFormat="1" ht="14.4" customHeight="1" x14ac:dyDescent="0.3"/>
    <row r="1504" customFormat="1" ht="14.4" customHeight="1" x14ac:dyDescent="0.3"/>
    <row r="1505" customFormat="1" ht="14.4" customHeight="1" x14ac:dyDescent="0.3"/>
    <row r="1506" customFormat="1" ht="14.4" customHeight="1" x14ac:dyDescent="0.3"/>
    <row r="1507" customFormat="1" ht="14.4" customHeight="1" x14ac:dyDescent="0.3"/>
    <row r="1508" customFormat="1" ht="14.4" customHeight="1" x14ac:dyDescent="0.3"/>
    <row r="1509" customFormat="1" ht="14.4" customHeight="1" x14ac:dyDescent="0.3"/>
    <row r="1510" customFormat="1" ht="14.4" customHeight="1" x14ac:dyDescent="0.3"/>
    <row r="1511" customFormat="1" ht="14.4" customHeight="1" x14ac:dyDescent="0.3"/>
    <row r="1512" customFormat="1" ht="14.4" customHeight="1" x14ac:dyDescent="0.3"/>
    <row r="1513" customFormat="1" ht="14.4" customHeight="1" x14ac:dyDescent="0.3"/>
    <row r="1514" customFormat="1" ht="14.4" customHeight="1" x14ac:dyDescent="0.3"/>
    <row r="1515" customFormat="1" ht="14.4" customHeight="1" x14ac:dyDescent="0.3"/>
    <row r="1516" customFormat="1" ht="14.4" customHeight="1" x14ac:dyDescent="0.3"/>
    <row r="1517" customFormat="1" ht="14.4" customHeight="1" x14ac:dyDescent="0.3"/>
    <row r="1518" customFormat="1" ht="14.4" customHeight="1" x14ac:dyDescent="0.3"/>
    <row r="1519" customFormat="1" ht="14.4" customHeight="1" x14ac:dyDescent="0.3"/>
    <row r="1520" customFormat="1" ht="14.4" customHeight="1" x14ac:dyDescent="0.3"/>
    <row r="1521" customFormat="1" ht="14.4" customHeight="1" x14ac:dyDescent="0.3"/>
    <row r="1522" customFormat="1" ht="14.4" customHeight="1" x14ac:dyDescent="0.3"/>
    <row r="1523" customFormat="1" ht="14.4" customHeight="1" x14ac:dyDescent="0.3"/>
    <row r="1524" customFormat="1" ht="14.4" customHeight="1" x14ac:dyDescent="0.3"/>
    <row r="1525" customFormat="1" ht="14.4" customHeight="1" x14ac:dyDescent="0.3"/>
    <row r="1526" customFormat="1" ht="14.4" customHeight="1" x14ac:dyDescent="0.3"/>
    <row r="1527" customFormat="1" ht="14.4" customHeight="1" x14ac:dyDescent="0.3"/>
    <row r="1528" customFormat="1" ht="14.4" customHeight="1" x14ac:dyDescent="0.3"/>
    <row r="1529" customFormat="1" ht="14.4" customHeight="1" x14ac:dyDescent="0.3"/>
    <row r="1530" customFormat="1" ht="14.4" customHeight="1" x14ac:dyDescent="0.3"/>
    <row r="1531" customFormat="1" ht="14.4" customHeight="1" x14ac:dyDescent="0.3"/>
    <row r="1532" customFormat="1" ht="14.4" customHeight="1" x14ac:dyDescent="0.3"/>
    <row r="1533" customFormat="1" ht="14.4" customHeight="1" x14ac:dyDescent="0.3"/>
    <row r="1534" customFormat="1" ht="14.4" customHeight="1" x14ac:dyDescent="0.3"/>
    <row r="1535" customFormat="1" ht="14.4" customHeight="1" x14ac:dyDescent="0.3"/>
    <row r="1536" customFormat="1" ht="14.4" customHeight="1" x14ac:dyDescent="0.3"/>
    <row r="1537" customFormat="1" ht="14.4" customHeight="1" x14ac:dyDescent="0.3"/>
    <row r="1538" customFormat="1" ht="14.4" customHeight="1" x14ac:dyDescent="0.3"/>
    <row r="1539" customFormat="1" ht="14.4" customHeight="1" x14ac:dyDescent="0.3"/>
    <row r="1540" customFormat="1" ht="14.4" customHeight="1" x14ac:dyDescent="0.3"/>
    <row r="1541" customFormat="1" ht="14.4" customHeight="1" x14ac:dyDescent="0.3"/>
    <row r="1542" customFormat="1" ht="14.4" customHeight="1" x14ac:dyDescent="0.3"/>
    <row r="1543" customFormat="1" ht="14.4" customHeight="1" x14ac:dyDescent="0.3"/>
    <row r="1544" customFormat="1" ht="14.4" customHeight="1" x14ac:dyDescent="0.3"/>
    <row r="1545" customFormat="1" ht="14.4" customHeight="1" x14ac:dyDescent="0.3"/>
    <row r="1546" customFormat="1" ht="14.4" customHeight="1" x14ac:dyDescent="0.3"/>
    <row r="1547" customFormat="1" ht="14.4" customHeight="1" x14ac:dyDescent="0.3"/>
    <row r="1548" customFormat="1" ht="14.4" customHeight="1" x14ac:dyDescent="0.3"/>
    <row r="1549" customFormat="1" ht="14.4" customHeight="1" x14ac:dyDescent="0.3"/>
    <row r="1550" customFormat="1" ht="14.4" customHeight="1" x14ac:dyDescent="0.3"/>
    <row r="1551" customFormat="1" ht="14.4" customHeight="1" x14ac:dyDescent="0.3"/>
    <row r="1552" customFormat="1" ht="14.4" customHeight="1" x14ac:dyDescent="0.3"/>
    <row r="1553" customFormat="1" ht="14.4" customHeight="1" x14ac:dyDescent="0.3"/>
    <row r="1554" customFormat="1" ht="14.4" customHeight="1" x14ac:dyDescent="0.3"/>
    <row r="1555" customFormat="1" ht="14.4" customHeight="1" x14ac:dyDescent="0.3"/>
    <row r="1556" customFormat="1" ht="14.4" customHeight="1" x14ac:dyDescent="0.3"/>
    <row r="1557" customFormat="1" ht="14.4" customHeight="1" x14ac:dyDescent="0.3"/>
    <row r="1558" customFormat="1" ht="14.4" customHeight="1" x14ac:dyDescent="0.3"/>
    <row r="1559" customFormat="1" ht="14.4" customHeight="1" x14ac:dyDescent="0.3"/>
    <row r="1560" customFormat="1" ht="14.4" customHeight="1" x14ac:dyDescent="0.3"/>
    <row r="1561" customFormat="1" ht="14.4" customHeight="1" x14ac:dyDescent="0.3"/>
    <row r="1562" customFormat="1" ht="14.4" customHeight="1" x14ac:dyDescent="0.3"/>
    <row r="1563" customFormat="1" ht="14.4" customHeight="1" x14ac:dyDescent="0.3"/>
    <row r="1564" customFormat="1" ht="14.4" customHeight="1" x14ac:dyDescent="0.3"/>
    <row r="1565" customFormat="1" ht="14.4" customHeight="1" x14ac:dyDescent="0.3"/>
    <row r="1566" customFormat="1" ht="14.4" customHeight="1" x14ac:dyDescent="0.3"/>
    <row r="1567" customFormat="1" ht="14.4" customHeight="1" x14ac:dyDescent="0.3"/>
    <row r="1568" customFormat="1" ht="14.4" customHeight="1" x14ac:dyDescent="0.3"/>
    <row r="1569" customFormat="1" ht="14.4" customHeight="1" x14ac:dyDescent="0.3"/>
    <row r="1570" customFormat="1" ht="14.4" customHeight="1" x14ac:dyDescent="0.3"/>
    <row r="1571" customFormat="1" ht="14.4" customHeight="1" x14ac:dyDescent="0.3"/>
    <row r="1572" customFormat="1" ht="14.4" customHeight="1" x14ac:dyDescent="0.3"/>
    <row r="1573" customFormat="1" ht="14.4" customHeight="1" x14ac:dyDescent="0.3"/>
    <row r="1574" customFormat="1" ht="14.4" customHeight="1" x14ac:dyDescent="0.3"/>
    <row r="1575" customFormat="1" ht="14.4" customHeight="1" x14ac:dyDescent="0.3"/>
    <row r="1576" customFormat="1" ht="14.4" customHeight="1" x14ac:dyDescent="0.3"/>
    <row r="1577" customFormat="1" ht="14.4" customHeight="1" x14ac:dyDescent="0.3"/>
    <row r="1578" customFormat="1" ht="14.4" customHeight="1" x14ac:dyDescent="0.3"/>
    <row r="1579" customFormat="1" ht="14.4" customHeight="1" x14ac:dyDescent="0.3"/>
    <row r="1580" customFormat="1" ht="14.4" customHeight="1" x14ac:dyDescent="0.3"/>
    <row r="1581" customFormat="1" ht="14.4" customHeight="1" x14ac:dyDescent="0.3"/>
    <row r="1582" customFormat="1" ht="14.4" customHeight="1" x14ac:dyDescent="0.3"/>
    <row r="1583" customFormat="1" ht="14.4" customHeight="1" x14ac:dyDescent="0.3"/>
    <row r="1584" customFormat="1" ht="14.4" customHeight="1" x14ac:dyDescent="0.3"/>
    <row r="1585" customFormat="1" ht="14.4" customHeight="1" x14ac:dyDescent="0.3"/>
    <row r="1586" customFormat="1" ht="14.4" customHeight="1" x14ac:dyDescent="0.3"/>
    <row r="1587" customFormat="1" ht="14.4" customHeight="1" x14ac:dyDescent="0.3"/>
    <row r="1588" customFormat="1" ht="14.4" customHeight="1" x14ac:dyDescent="0.3"/>
    <row r="1589" customFormat="1" ht="14.4" customHeight="1" x14ac:dyDescent="0.3"/>
    <row r="1590" customFormat="1" ht="14.4" customHeight="1" x14ac:dyDescent="0.3"/>
    <row r="1591" customFormat="1" ht="14.4" customHeight="1" x14ac:dyDescent="0.3"/>
    <row r="1592" customFormat="1" ht="14.4" customHeight="1" x14ac:dyDescent="0.3"/>
    <row r="1593" customFormat="1" ht="14.4" customHeight="1" x14ac:dyDescent="0.3"/>
    <row r="1594" customFormat="1" ht="14.4" customHeight="1" x14ac:dyDescent="0.3"/>
    <row r="1595" customFormat="1" ht="14.4" customHeight="1" x14ac:dyDescent="0.3"/>
    <row r="1596" customFormat="1" ht="14.4" customHeight="1" x14ac:dyDescent="0.3"/>
    <row r="1597" customFormat="1" ht="14.4" customHeight="1" x14ac:dyDescent="0.3"/>
    <row r="1598" customFormat="1" ht="14.4" customHeight="1" x14ac:dyDescent="0.3"/>
    <row r="1599" customFormat="1" ht="14.4" customHeight="1" x14ac:dyDescent="0.3"/>
    <row r="1600" customFormat="1" ht="14.4" customHeight="1" x14ac:dyDescent="0.3"/>
    <row r="1601" customFormat="1" ht="14.4" customHeight="1" x14ac:dyDescent="0.3"/>
    <row r="1602" customFormat="1" ht="14.4" customHeight="1" x14ac:dyDescent="0.3"/>
    <row r="1603" customFormat="1" ht="14.4" customHeight="1" x14ac:dyDescent="0.3"/>
    <row r="1604" customFormat="1" ht="14.4" customHeight="1" x14ac:dyDescent="0.3"/>
    <row r="1605" customFormat="1" ht="14.4" customHeight="1" x14ac:dyDescent="0.3"/>
    <row r="1606" customFormat="1" ht="14.4" customHeight="1" x14ac:dyDescent="0.3"/>
    <row r="1607" customFormat="1" ht="14.4" customHeight="1" x14ac:dyDescent="0.3"/>
    <row r="1608" customFormat="1" ht="14.4" customHeight="1" x14ac:dyDescent="0.3"/>
    <row r="1609" customFormat="1" ht="14.4" customHeight="1" x14ac:dyDescent="0.3"/>
    <row r="1610" customFormat="1" ht="14.4" customHeight="1" x14ac:dyDescent="0.3"/>
    <row r="1611" customFormat="1" ht="14.4" customHeight="1" x14ac:dyDescent="0.3"/>
    <row r="1612" customFormat="1" ht="14.4" customHeight="1" x14ac:dyDescent="0.3"/>
    <row r="1613" customFormat="1" ht="14.4" customHeight="1" x14ac:dyDescent="0.3"/>
    <row r="1614" customFormat="1" ht="14.4" customHeight="1" x14ac:dyDescent="0.3"/>
    <row r="1615" customFormat="1" ht="14.4" customHeight="1" x14ac:dyDescent="0.3"/>
    <row r="1616" customFormat="1" ht="14.4" customHeight="1" x14ac:dyDescent="0.3"/>
    <row r="1617" customFormat="1" ht="14.4" customHeight="1" x14ac:dyDescent="0.3"/>
    <row r="1618" customFormat="1" ht="14.4" customHeight="1" x14ac:dyDescent="0.3"/>
    <row r="1619" customFormat="1" ht="14.4" customHeight="1" x14ac:dyDescent="0.3"/>
    <row r="1620" customFormat="1" ht="14.4" customHeight="1" x14ac:dyDescent="0.3"/>
    <row r="1621" customFormat="1" ht="14.4" customHeight="1" x14ac:dyDescent="0.3"/>
    <row r="1622" customFormat="1" ht="14.4" customHeight="1" x14ac:dyDescent="0.3"/>
    <row r="1623" customFormat="1" ht="14.4" customHeight="1" x14ac:dyDescent="0.3"/>
    <row r="1624" customFormat="1" ht="14.4" customHeight="1" x14ac:dyDescent="0.3"/>
    <row r="1625" customFormat="1" ht="14.4" customHeight="1" x14ac:dyDescent="0.3"/>
    <row r="1626" customFormat="1" ht="14.4" customHeight="1" x14ac:dyDescent="0.3"/>
    <row r="1627" customFormat="1" ht="14.4" customHeight="1" x14ac:dyDescent="0.3"/>
    <row r="1628" customFormat="1" ht="14.4" customHeight="1" x14ac:dyDescent="0.3"/>
    <row r="1629" customFormat="1" ht="14.4" customHeight="1" x14ac:dyDescent="0.3"/>
    <row r="1630" customFormat="1" ht="14.4" customHeight="1" x14ac:dyDescent="0.3"/>
    <row r="1631" customFormat="1" ht="14.4" customHeight="1" x14ac:dyDescent="0.3"/>
    <row r="1632" customFormat="1" ht="14.4" customHeight="1" x14ac:dyDescent="0.3"/>
    <row r="1633" customFormat="1" ht="14.4" customHeight="1" x14ac:dyDescent="0.3"/>
    <row r="1634" customFormat="1" ht="14.4" customHeight="1" x14ac:dyDescent="0.3"/>
    <row r="1635" customFormat="1" ht="14.4" customHeight="1" x14ac:dyDescent="0.3"/>
    <row r="1636" customFormat="1" ht="14.4" customHeight="1" x14ac:dyDescent="0.3"/>
    <row r="1637" customFormat="1" ht="14.4" customHeight="1" x14ac:dyDescent="0.3"/>
    <row r="1638" customFormat="1" ht="14.4" customHeight="1" x14ac:dyDescent="0.3"/>
    <row r="1639" customFormat="1" ht="14.4" customHeight="1" x14ac:dyDescent="0.3"/>
    <row r="1640" customFormat="1" ht="14.4" customHeight="1" x14ac:dyDescent="0.3"/>
    <row r="1641" customFormat="1" ht="14.4" customHeight="1" x14ac:dyDescent="0.3"/>
    <row r="1642" customFormat="1" ht="14.4" customHeight="1" x14ac:dyDescent="0.3"/>
    <row r="1643" customFormat="1" ht="14.4" customHeight="1" x14ac:dyDescent="0.3"/>
    <row r="1644" customFormat="1" ht="14.4" customHeight="1" x14ac:dyDescent="0.3"/>
    <row r="1645" customFormat="1" ht="14.4" customHeight="1" x14ac:dyDescent="0.3"/>
    <row r="1646" customFormat="1" ht="14.4" customHeight="1" x14ac:dyDescent="0.3"/>
    <row r="1647" customFormat="1" ht="14.4" customHeight="1" x14ac:dyDescent="0.3"/>
    <row r="1648" customFormat="1" ht="14.4" customHeight="1" x14ac:dyDescent="0.3"/>
    <row r="1649" customFormat="1" ht="14.4" customHeight="1" x14ac:dyDescent="0.3"/>
    <row r="1650" customFormat="1" ht="14.4" customHeight="1" x14ac:dyDescent="0.3"/>
    <row r="1651" customFormat="1" ht="14.4" customHeight="1" x14ac:dyDescent="0.3"/>
    <row r="1652" customFormat="1" ht="14.4" customHeight="1" x14ac:dyDescent="0.3"/>
    <row r="1653" customFormat="1" ht="14.4" customHeight="1" x14ac:dyDescent="0.3"/>
    <row r="1654" customFormat="1" ht="14.4" customHeight="1" x14ac:dyDescent="0.3"/>
    <row r="1655" customFormat="1" ht="14.4" customHeight="1" x14ac:dyDescent="0.3"/>
    <row r="1656" customFormat="1" ht="14.4" customHeight="1" x14ac:dyDescent="0.3"/>
    <row r="1657" customFormat="1" ht="14.4" customHeight="1" x14ac:dyDescent="0.3"/>
    <row r="1658" customFormat="1" ht="14.4" customHeight="1" x14ac:dyDescent="0.3"/>
    <row r="1659" customFormat="1" ht="14.4" customHeight="1" x14ac:dyDescent="0.3"/>
    <row r="1660" customFormat="1" ht="14.4" customHeight="1" x14ac:dyDescent="0.3"/>
    <row r="1661" customFormat="1" ht="14.4" customHeight="1" x14ac:dyDescent="0.3"/>
    <row r="1662" customFormat="1" ht="14.4" customHeight="1" x14ac:dyDescent="0.3"/>
    <row r="1663" customFormat="1" ht="14.4" customHeight="1" x14ac:dyDescent="0.3"/>
    <row r="1664" customFormat="1" ht="14.4" customHeight="1" x14ac:dyDescent="0.3"/>
    <row r="1665" customFormat="1" ht="14.4" customHeight="1" x14ac:dyDescent="0.3"/>
    <row r="1666" customFormat="1" ht="14.4" customHeight="1" x14ac:dyDescent="0.3"/>
    <row r="1667" customFormat="1" ht="14.4" customHeight="1" x14ac:dyDescent="0.3"/>
    <row r="1668" customFormat="1" ht="14.4" customHeight="1" x14ac:dyDescent="0.3"/>
    <row r="1669" customFormat="1" ht="14.4" customHeight="1" x14ac:dyDescent="0.3"/>
    <row r="1670" customFormat="1" ht="14.4" customHeight="1" x14ac:dyDescent="0.3"/>
    <row r="1671" customFormat="1" ht="14.4" customHeight="1" x14ac:dyDescent="0.3"/>
    <row r="1672" customFormat="1" ht="14.4" customHeight="1" x14ac:dyDescent="0.3"/>
    <row r="1673" customFormat="1" ht="14.4" customHeight="1" x14ac:dyDescent="0.3"/>
    <row r="1674" customFormat="1" ht="14.4" customHeight="1" x14ac:dyDescent="0.3"/>
    <row r="1675" customFormat="1" ht="14.4" customHeight="1" x14ac:dyDescent="0.3"/>
    <row r="1676" customFormat="1" ht="14.4" customHeight="1" x14ac:dyDescent="0.3"/>
    <row r="1677" customFormat="1" ht="14.4" customHeight="1" x14ac:dyDescent="0.3"/>
    <row r="1678" customFormat="1" ht="14.4" customHeight="1" x14ac:dyDescent="0.3"/>
    <row r="1679" customFormat="1" ht="14.4" customHeight="1" x14ac:dyDescent="0.3"/>
    <row r="1680" customFormat="1" ht="14.4" customHeight="1" x14ac:dyDescent="0.3"/>
    <row r="1681" customFormat="1" ht="14.4" customHeight="1" x14ac:dyDescent="0.3"/>
    <row r="1682" customFormat="1" ht="14.4" customHeight="1" x14ac:dyDescent="0.3"/>
    <row r="1683" customFormat="1" ht="14.4" customHeight="1" x14ac:dyDescent="0.3"/>
    <row r="1684" customFormat="1" ht="14.4" customHeight="1" x14ac:dyDescent="0.3"/>
    <row r="1685" customFormat="1" ht="14.4" customHeight="1" x14ac:dyDescent="0.3"/>
    <row r="1686" customFormat="1" ht="14.4" customHeight="1" x14ac:dyDescent="0.3"/>
    <row r="1687" customFormat="1" ht="14.4" customHeight="1" x14ac:dyDescent="0.3"/>
    <row r="1688" customFormat="1" ht="14.4" customHeight="1" x14ac:dyDescent="0.3"/>
    <row r="1689" customFormat="1" ht="14.4" customHeight="1" x14ac:dyDescent="0.3"/>
    <row r="1690" customFormat="1" ht="14.4" customHeight="1" x14ac:dyDescent="0.3"/>
    <row r="1691" customFormat="1" ht="14.4" customHeight="1" x14ac:dyDescent="0.3"/>
    <row r="1692" customFormat="1" ht="14.4" customHeight="1" x14ac:dyDescent="0.3"/>
    <row r="1693" customFormat="1" ht="14.4" customHeight="1" x14ac:dyDescent="0.3"/>
    <row r="1694" customFormat="1" ht="14.4" customHeight="1" x14ac:dyDescent="0.3"/>
    <row r="1695" customFormat="1" ht="14.4" customHeight="1" x14ac:dyDescent="0.3"/>
    <row r="1696" customFormat="1" ht="14.4" customHeight="1" x14ac:dyDescent="0.3"/>
    <row r="1697" customFormat="1" ht="14.4" customHeight="1" x14ac:dyDescent="0.3"/>
    <row r="1698" customFormat="1" ht="14.4" customHeight="1" x14ac:dyDescent="0.3"/>
    <row r="1699" customFormat="1" ht="14.4" customHeight="1" x14ac:dyDescent="0.3"/>
    <row r="1700" customFormat="1" ht="14.4" customHeight="1" x14ac:dyDescent="0.3"/>
    <row r="1701" customFormat="1" ht="14.4" customHeight="1" x14ac:dyDescent="0.3"/>
    <row r="1702" customFormat="1" ht="14.4" customHeight="1" x14ac:dyDescent="0.3"/>
    <row r="1703" customFormat="1" ht="14.4" customHeight="1" x14ac:dyDescent="0.3"/>
    <row r="1704" customFormat="1" ht="14.4" customHeight="1" x14ac:dyDescent="0.3"/>
    <row r="1705" customFormat="1" ht="14.4" customHeight="1" x14ac:dyDescent="0.3"/>
    <row r="1706" customFormat="1" ht="14.4" customHeight="1" x14ac:dyDescent="0.3"/>
    <row r="1707" customFormat="1" ht="14.4" customHeight="1" x14ac:dyDescent="0.3"/>
    <row r="1708" customFormat="1" ht="14.4" customHeight="1" x14ac:dyDescent="0.3"/>
    <row r="1709" customFormat="1" ht="14.4" customHeight="1" x14ac:dyDescent="0.3"/>
    <row r="1710" customFormat="1" ht="14.4" customHeight="1" x14ac:dyDescent="0.3"/>
    <row r="1711" customFormat="1" ht="14.4" customHeight="1" x14ac:dyDescent="0.3"/>
    <row r="1712" customFormat="1" ht="14.4" customHeight="1" x14ac:dyDescent="0.3"/>
    <row r="1713" customFormat="1" ht="14.4" customHeight="1" x14ac:dyDescent="0.3"/>
    <row r="1714" customFormat="1" ht="14.4" customHeight="1" x14ac:dyDescent="0.3"/>
    <row r="1715" customFormat="1" ht="14.4" customHeight="1" x14ac:dyDescent="0.3"/>
    <row r="1716" customFormat="1" ht="14.4" customHeight="1" x14ac:dyDescent="0.3"/>
    <row r="1717" customFormat="1" ht="14.4" customHeight="1" x14ac:dyDescent="0.3"/>
    <row r="1718" customFormat="1" ht="14.4" customHeight="1" x14ac:dyDescent="0.3"/>
    <row r="1719" customFormat="1" ht="14.4" customHeight="1" x14ac:dyDescent="0.3"/>
    <row r="1720" customFormat="1" ht="14.4" customHeight="1" x14ac:dyDescent="0.3"/>
    <row r="1721" customFormat="1" ht="14.4" customHeight="1" x14ac:dyDescent="0.3"/>
    <row r="1722" customFormat="1" ht="14.4" customHeight="1" x14ac:dyDescent="0.3"/>
    <row r="1723" customFormat="1" ht="14.4" customHeight="1" x14ac:dyDescent="0.3"/>
    <row r="1724" customFormat="1" ht="14.4" customHeight="1" x14ac:dyDescent="0.3"/>
    <row r="1725" customFormat="1" ht="14.4" customHeight="1" x14ac:dyDescent="0.3"/>
    <row r="1726" customFormat="1" ht="14.4" customHeight="1" x14ac:dyDescent="0.3"/>
    <row r="1727" customFormat="1" ht="14.4" customHeight="1" x14ac:dyDescent="0.3"/>
    <row r="1728" customFormat="1" ht="14.4" customHeight="1" x14ac:dyDescent="0.3"/>
    <row r="1729" customFormat="1" ht="14.4" customHeight="1" x14ac:dyDescent="0.3"/>
    <row r="1730" customFormat="1" ht="14.4" customHeight="1" x14ac:dyDescent="0.3"/>
    <row r="1731" customFormat="1" ht="14.4" customHeight="1" x14ac:dyDescent="0.3"/>
    <row r="1732" customFormat="1" ht="14.4" customHeight="1" x14ac:dyDescent="0.3"/>
    <row r="1733" customFormat="1" ht="14.4" customHeight="1" x14ac:dyDescent="0.3"/>
    <row r="1734" customFormat="1" ht="14.4" customHeight="1" x14ac:dyDescent="0.3"/>
    <row r="1735" customFormat="1" ht="14.4" customHeight="1" x14ac:dyDescent="0.3"/>
    <row r="1736" customFormat="1" ht="14.4" customHeight="1" x14ac:dyDescent="0.3"/>
    <row r="1737" customFormat="1" ht="14.4" customHeight="1" x14ac:dyDescent="0.3"/>
    <row r="1738" customFormat="1" ht="14.4" customHeight="1" x14ac:dyDescent="0.3"/>
    <row r="1739" customFormat="1" ht="14.4" customHeight="1" x14ac:dyDescent="0.3"/>
    <row r="1740" customFormat="1" ht="14.4" customHeight="1" x14ac:dyDescent="0.3"/>
    <row r="1741" customFormat="1" ht="14.4" customHeight="1" x14ac:dyDescent="0.3"/>
    <row r="1742" customFormat="1" ht="14.4" customHeight="1" x14ac:dyDescent="0.3"/>
    <row r="1743" customFormat="1" ht="14.4" customHeight="1" x14ac:dyDescent="0.3"/>
    <row r="1744" customFormat="1" ht="14.4" customHeight="1" x14ac:dyDescent="0.3"/>
    <row r="1745" customFormat="1" ht="14.4" customHeight="1" x14ac:dyDescent="0.3"/>
    <row r="1746" customFormat="1" ht="14.4" customHeight="1" x14ac:dyDescent="0.3"/>
    <row r="1747" customFormat="1" ht="14.4" customHeight="1" x14ac:dyDescent="0.3"/>
    <row r="1748" customFormat="1" ht="14.4" customHeight="1" x14ac:dyDescent="0.3"/>
    <row r="1749" customFormat="1" ht="14.4" customHeight="1" x14ac:dyDescent="0.3"/>
    <row r="1750" customFormat="1" ht="14.4" customHeight="1" x14ac:dyDescent="0.3"/>
    <row r="1751" customFormat="1" ht="14.4" customHeight="1" x14ac:dyDescent="0.3"/>
    <row r="1752" customFormat="1" ht="14.4" customHeight="1" x14ac:dyDescent="0.3"/>
    <row r="1753" customFormat="1" ht="14.4" customHeight="1" x14ac:dyDescent="0.3"/>
    <row r="1754" customFormat="1" ht="14.4" customHeight="1" x14ac:dyDescent="0.3"/>
    <row r="1755" customFormat="1" ht="14.4" customHeight="1" x14ac:dyDescent="0.3"/>
    <row r="1756" customFormat="1" ht="14.4" customHeight="1" x14ac:dyDescent="0.3"/>
    <row r="1757" customFormat="1" ht="14.4" customHeight="1" x14ac:dyDescent="0.3"/>
    <row r="1758" customFormat="1" ht="14.4" customHeight="1" x14ac:dyDescent="0.3"/>
    <row r="1759" customFormat="1" ht="14.4" customHeight="1" x14ac:dyDescent="0.3"/>
    <row r="1760" customFormat="1" ht="14.4" customHeight="1" x14ac:dyDescent="0.3"/>
    <row r="1761" customFormat="1" ht="14.4" customHeight="1" x14ac:dyDescent="0.3"/>
    <row r="1762" customFormat="1" ht="14.4" customHeight="1" x14ac:dyDescent="0.3"/>
    <row r="1763" customFormat="1" ht="14.4" customHeight="1" x14ac:dyDescent="0.3"/>
    <row r="1764" customFormat="1" ht="14.4" customHeight="1" x14ac:dyDescent="0.3"/>
    <row r="1765" customFormat="1" ht="14.4" customHeight="1" x14ac:dyDescent="0.3"/>
    <row r="1766" customFormat="1" ht="14.4" customHeight="1" x14ac:dyDescent="0.3"/>
    <row r="1767" customFormat="1" ht="14.4" customHeight="1" x14ac:dyDescent="0.3"/>
    <row r="1768" customFormat="1" ht="14.4" customHeight="1" x14ac:dyDescent="0.3"/>
    <row r="1769" customFormat="1" ht="14.4" customHeight="1" x14ac:dyDescent="0.3"/>
    <row r="1770" customFormat="1" ht="14.4" customHeight="1" x14ac:dyDescent="0.3"/>
    <row r="1771" customFormat="1" ht="14.4" customHeight="1" x14ac:dyDescent="0.3"/>
    <row r="1772" customFormat="1" ht="14.4" customHeight="1" x14ac:dyDescent="0.3"/>
    <row r="1773" customFormat="1" ht="14.4" customHeight="1" x14ac:dyDescent="0.3"/>
    <row r="1774" customFormat="1" ht="14.4" customHeight="1" x14ac:dyDescent="0.3"/>
    <row r="1775" customFormat="1" ht="14.4" customHeight="1" x14ac:dyDescent="0.3"/>
    <row r="1776" customFormat="1" ht="14.4" customHeight="1" x14ac:dyDescent="0.3"/>
    <row r="1777" customFormat="1" ht="14.4" customHeight="1" x14ac:dyDescent="0.3"/>
    <row r="1778" customFormat="1" ht="14.4" customHeight="1" x14ac:dyDescent="0.3"/>
    <row r="1779" customFormat="1" ht="14.4" customHeight="1" x14ac:dyDescent="0.3"/>
    <row r="1780" customFormat="1" ht="14.4" customHeight="1" x14ac:dyDescent="0.3"/>
    <row r="1781" customFormat="1" ht="14.4" customHeight="1" x14ac:dyDescent="0.3"/>
    <row r="1782" customFormat="1" ht="14.4" customHeight="1" x14ac:dyDescent="0.3"/>
    <row r="1783" customFormat="1" ht="14.4" customHeight="1" x14ac:dyDescent="0.3"/>
    <row r="1784" customFormat="1" ht="14.4" customHeight="1" x14ac:dyDescent="0.3"/>
    <row r="1785" customFormat="1" ht="14.4" customHeight="1" x14ac:dyDescent="0.3"/>
    <row r="1786" customFormat="1" ht="14.4" customHeight="1" x14ac:dyDescent="0.3"/>
    <row r="1787" customFormat="1" ht="14.4" customHeight="1" x14ac:dyDescent="0.3"/>
    <row r="1788" customFormat="1" ht="14.4" customHeight="1" x14ac:dyDescent="0.3"/>
    <row r="1789" customFormat="1" ht="14.4" customHeight="1" x14ac:dyDescent="0.3"/>
    <row r="1790" customFormat="1" ht="14.4" customHeight="1" x14ac:dyDescent="0.3"/>
    <row r="1791" customFormat="1" ht="14.4" customHeight="1" x14ac:dyDescent="0.3"/>
    <row r="1792" customFormat="1" ht="14.4" customHeight="1" x14ac:dyDescent="0.3"/>
    <row r="1793" customFormat="1" ht="14.4" customHeight="1" x14ac:dyDescent="0.3"/>
    <row r="1794" customFormat="1" ht="14.4" customHeight="1" x14ac:dyDescent="0.3"/>
    <row r="1795" customFormat="1" ht="14.4" customHeight="1" x14ac:dyDescent="0.3"/>
    <row r="1796" customFormat="1" ht="14.4" customHeight="1" x14ac:dyDescent="0.3"/>
    <row r="1797" customFormat="1" ht="14.4" customHeight="1" x14ac:dyDescent="0.3"/>
    <row r="1798" customFormat="1" ht="14.4" customHeight="1" x14ac:dyDescent="0.3"/>
    <row r="1799" customFormat="1" ht="14.4" customHeight="1" x14ac:dyDescent="0.3"/>
    <row r="1800" customFormat="1" ht="14.4" customHeight="1" x14ac:dyDescent="0.3"/>
    <row r="1801" customFormat="1" ht="14.4" customHeight="1" x14ac:dyDescent="0.3"/>
    <row r="1802" customFormat="1" ht="14.4" customHeight="1" x14ac:dyDescent="0.3"/>
    <row r="1803" customFormat="1" ht="14.4" customHeight="1" x14ac:dyDescent="0.3"/>
    <row r="1804" customFormat="1" ht="14.4" customHeight="1" x14ac:dyDescent="0.3"/>
    <row r="1805" customFormat="1" ht="14.4" customHeight="1" x14ac:dyDescent="0.3"/>
    <row r="1806" customFormat="1" ht="14.4" customHeight="1" x14ac:dyDescent="0.3"/>
    <row r="1807" customFormat="1" ht="14.4" customHeight="1" x14ac:dyDescent="0.3"/>
    <row r="1808" customFormat="1" ht="14.4" customHeight="1" x14ac:dyDescent="0.3"/>
    <row r="1809" customFormat="1" ht="14.4" customHeight="1" x14ac:dyDescent="0.3"/>
    <row r="1810" customFormat="1" ht="14.4" customHeight="1" x14ac:dyDescent="0.3"/>
    <row r="1811" customFormat="1" ht="14.4" customHeight="1" x14ac:dyDescent="0.3"/>
    <row r="1812" customFormat="1" ht="14.4" customHeight="1" x14ac:dyDescent="0.3"/>
    <row r="1813" customFormat="1" ht="14.4" customHeight="1" x14ac:dyDescent="0.3"/>
    <row r="1814" customFormat="1" ht="14.4" customHeight="1" x14ac:dyDescent="0.3"/>
    <row r="1815" customFormat="1" ht="14.4" customHeight="1" x14ac:dyDescent="0.3"/>
    <row r="1816" customFormat="1" ht="14.4" customHeight="1" x14ac:dyDescent="0.3"/>
    <row r="1817" customFormat="1" ht="14.4" customHeight="1" x14ac:dyDescent="0.3"/>
    <row r="1818" customFormat="1" ht="14.4" customHeight="1" x14ac:dyDescent="0.3"/>
    <row r="1819" customFormat="1" ht="14.4" customHeight="1" x14ac:dyDescent="0.3"/>
    <row r="1820" customFormat="1" ht="14.4" customHeight="1" x14ac:dyDescent="0.3"/>
    <row r="1821" customFormat="1" ht="14.4" customHeight="1" x14ac:dyDescent="0.3"/>
    <row r="1822" customFormat="1" ht="14.4" customHeight="1" x14ac:dyDescent="0.3"/>
    <row r="1823" customFormat="1" ht="14.4" customHeight="1" x14ac:dyDescent="0.3"/>
    <row r="1824" customFormat="1" ht="14.4" customHeight="1" x14ac:dyDescent="0.3"/>
    <row r="1825" customFormat="1" ht="14.4" customHeight="1" x14ac:dyDescent="0.3"/>
    <row r="1826" customFormat="1" ht="14.4" customHeight="1" x14ac:dyDescent="0.3"/>
    <row r="1827" customFormat="1" ht="14.4" customHeight="1" x14ac:dyDescent="0.3"/>
    <row r="1828" customFormat="1" ht="14.4" customHeight="1" x14ac:dyDescent="0.3"/>
    <row r="1829" customFormat="1" ht="14.4" customHeight="1" x14ac:dyDescent="0.3"/>
    <row r="1830" customFormat="1" ht="14.4" customHeight="1" x14ac:dyDescent="0.3"/>
    <row r="1831" customFormat="1" ht="14.4" customHeight="1" x14ac:dyDescent="0.3"/>
    <row r="1832" customFormat="1" ht="14.4" customHeight="1" x14ac:dyDescent="0.3"/>
    <row r="1833" customFormat="1" ht="14.4" customHeight="1" x14ac:dyDescent="0.3"/>
    <row r="1834" customFormat="1" ht="14.4" customHeight="1" x14ac:dyDescent="0.3"/>
    <row r="1835" customFormat="1" ht="14.4" customHeight="1" x14ac:dyDescent="0.3"/>
    <row r="1836" customFormat="1" ht="14.4" customHeight="1" x14ac:dyDescent="0.3"/>
    <row r="1837" customFormat="1" ht="14.4" customHeight="1" x14ac:dyDescent="0.3"/>
    <row r="1838" customFormat="1" ht="14.4" customHeight="1" x14ac:dyDescent="0.3"/>
    <row r="1839" customFormat="1" ht="14.4" customHeight="1" x14ac:dyDescent="0.3"/>
    <row r="1840" customFormat="1" ht="14.4" customHeight="1" x14ac:dyDescent="0.3"/>
    <row r="1841" customFormat="1" ht="14.4" customHeight="1" x14ac:dyDescent="0.3"/>
    <row r="1842" customFormat="1" ht="14.4" customHeight="1" x14ac:dyDescent="0.3"/>
    <row r="1843" customFormat="1" ht="14.4" customHeight="1" x14ac:dyDescent="0.3"/>
    <row r="1844" customFormat="1" ht="14.4" customHeight="1" x14ac:dyDescent="0.3"/>
    <row r="1845" customFormat="1" ht="14.4" customHeight="1" x14ac:dyDescent="0.3"/>
    <row r="1846" customFormat="1" ht="14.4" customHeight="1" x14ac:dyDescent="0.3"/>
    <row r="1847" customFormat="1" ht="14.4" customHeight="1" x14ac:dyDescent="0.3"/>
    <row r="1848" customFormat="1" ht="14.4" customHeight="1" x14ac:dyDescent="0.3"/>
    <row r="1849" customFormat="1" ht="14.4" customHeight="1" x14ac:dyDescent="0.3"/>
    <row r="1850" customFormat="1" ht="14.4" customHeight="1" x14ac:dyDescent="0.3"/>
    <row r="1851" customFormat="1" ht="14.4" customHeight="1" x14ac:dyDescent="0.3"/>
    <row r="1852" customFormat="1" ht="14.4" customHeight="1" x14ac:dyDescent="0.3"/>
    <row r="1853" customFormat="1" ht="14.4" customHeight="1" x14ac:dyDescent="0.3"/>
    <row r="1854" customFormat="1" ht="14.4" customHeight="1" x14ac:dyDescent="0.3"/>
    <row r="1855" customFormat="1" ht="14.4" customHeight="1" x14ac:dyDescent="0.3"/>
    <row r="1856" customFormat="1" ht="14.4" customHeight="1" x14ac:dyDescent="0.3"/>
    <row r="1857" customFormat="1" ht="14.4" customHeight="1" x14ac:dyDescent="0.3"/>
    <row r="1858" customFormat="1" ht="14.4" customHeight="1" x14ac:dyDescent="0.3"/>
    <row r="1859" customFormat="1" ht="14.4" customHeight="1" x14ac:dyDescent="0.3"/>
    <row r="1860" customFormat="1" ht="14.4" customHeight="1" x14ac:dyDescent="0.3"/>
    <row r="1861" customFormat="1" ht="14.4" customHeight="1" x14ac:dyDescent="0.3"/>
    <row r="1862" customFormat="1" ht="14.4" customHeight="1" x14ac:dyDescent="0.3"/>
    <row r="1863" customFormat="1" ht="14.4" customHeight="1" x14ac:dyDescent="0.3"/>
    <row r="1864" customFormat="1" ht="14.4" customHeight="1" x14ac:dyDescent="0.3"/>
    <row r="1865" customFormat="1" ht="14.4" customHeight="1" x14ac:dyDescent="0.3"/>
    <row r="1866" customFormat="1" ht="14.4" customHeight="1" x14ac:dyDescent="0.3"/>
    <row r="1867" customFormat="1" ht="14.4" customHeight="1" x14ac:dyDescent="0.3"/>
    <row r="1868" customFormat="1" ht="14.4" customHeight="1" x14ac:dyDescent="0.3"/>
    <row r="1869" customFormat="1" ht="14.4" customHeight="1" x14ac:dyDescent="0.3"/>
    <row r="1870" customFormat="1" ht="14.4" customHeight="1" x14ac:dyDescent="0.3"/>
    <row r="1871" customFormat="1" ht="14.4" customHeight="1" x14ac:dyDescent="0.3"/>
    <row r="1872" customFormat="1" ht="14.4" customHeight="1" x14ac:dyDescent="0.3"/>
    <row r="1873" customFormat="1" ht="14.4" customHeight="1" x14ac:dyDescent="0.3"/>
    <row r="1874" customFormat="1" ht="14.4" customHeight="1" x14ac:dyDescent="0.3"/>
    <row r="1875" customFormat="1" ht="14.4" customHeight="1" x14ac:dyDescent="0.3"/>
    <row r="1876" customFormat="1" ht="14.4" customHeight="1" x14ac:dyDescent="0.3"/>
    <row r="1877" customFormat="1" ht="14.4" customHeight="1" x14ac:dyDescent="0.3"/>
    <row r="1878" customFormat="1" ht="14.4" customHeight="1" x14ac:dyDescent="0.3"/>
    <row r="1879" customFormat="1" ht="14.4" customHeight="1" x14ac:dyDescent="0.3"/>
    <row r="1880" customFormat="1" ht="14.4" customHeight="1" x14ac:dyDescent="0.3"/>
    <row r="1881" customFormat="1" ht="14.4" customHeight="1" x14ac:dyDescent="0.3"/>
    <row r="1882" customFormat="1" ht="14.4" customHeight="1" x14ac:dyDescent="0.3"/>
    <row r="1883" customFormat="1" ht="14.4" customHeight="1" x14ac:dyDescent="0.3"/>
    <row r="1884" customFormat="1" ht="14.4" customHeight="1" x14ac:dyDescent="0.3"/>
    <row r="1885" customFormat="1" ht="14.4" customHeight="1" x14ac:dyDescent="0.3"/>
    <row r="1886" customFormat="1" ht="14.4" customHeight="1" x14ac:dyDescent="0.3"/>
    <row r="1887" customFormat="1" ht="14.4" customHeight="1" x14ac:dyDescent="0.3"/>
    <row r="1888" customFormat="1" ht="14.4" customHeight="1" x14ac:dyDescent="0.3"/>
    <row r="1889" customFormat="1" ht="14.4" customHeight="1" x14ac:dyDescent="0.3"/>
    <row r="1890" customFormat="1" ht="14.4" customHeight="1" x14ac:dyDescent="0.3"/>
    <row r="1891" customFormat="1" ht="14.4" customHeight="1" x14ac:dyDescent="0.3"/>
    <row r="1892" customFormat="1" ht="14.4" customHeight="1" x14ac:dyDescent="0.3"/>
    <row r="1893" customFormat="1" ht="14.4" customHeight="1" x14ac:dyDescent="0.3"/>
    <row r="1894" customFormat="1" ht="14.4" customHeight="1" x14ac:dyDescent="0.3"/>
    <row r="1895" customFormat="1" ht="14.4" customHeight="1" x14ac:dyDescent="0.3"/>
    <row r="1896" customFormat="1" ht="14.4" customHeight="1" x14ac:dyDescent="0.3"/>
    <row r="1897" customFormat="1" ht="14.4" customHeight="1" x14ac:dyDescent="0.3"/>
    <row r="1898" customFormat="1" ht="14.4" customHeight="1" x14ac:dyDescent="0.3"/>
    <row r="1899" customFormat="1" ht="14.4" customHeight="1" x14ac:dyDescent="0.3"/>
    <row r="1900" customFormat="1" ht="14.4" customHeight="1" x14ac:dyDescent="0.3"/>
    <row r="1901" customFormat="1" ht="14.4" customHeight="1" x14ac:dyDescent="0.3"/>
    <row r="1902" customFormat="1" ht="14.4" customHeight="1" x14ac:dyDescent="0.3"/>
    <row r="1903" customFormat="1" ht="14.4" customHeight="1" x14ac:dyDescent="0.3"/>
    <row r="1904" customFormat="1" ht="14.4" customHeight="1" x14ac:dyDescent="0.3"/>
    <row r="1905" customFormat="1" ht="14.4" customHeight="1" x14ac:dyDescent="0.3"/>
    <row r="1906" customFormat="1" ht="14.4" customHeight="1" x14ac:dyDescent="0.3"/>
    <row r="1907" customFormat="1" ht="14.4" customHeight="1" x14ac:dyDescent="0.3"/>
    <row r="1908" customFormat="1" ht="14.4" customHeight="1" x14ac:dyDescent="0.3"/>
    <row r="1909" customFormat="1" ht="14.4" customHeight="1" x14ac:dyDescent="0.3"/>
    <row r="1910" customFormat="1" ht="14.4" customHeight="1" x14ac:dyDescent="0.3"/>
    <row r="1911" customFormat="1" ht="14.4" customHeight="1" x14ac:dyDescent="0.3"/>
    <row r="1912" customFormat="1" ht="14.4" customHeight="1" x14ac:dyDescent="0.3"/>
    <row r="1913" customFormat="1" ht="14.4" customHeight="1" x14ac:dyDescent="0.3"/>
    <row r="1914" customFormat="1" ht="14.4" customHeight="1" x14ac:dyDescent="0.3"/>
    <row r="1915" customFormat="1" ht="14.4" customHeight="1" x14ac:dyDescent="0.3"/>
    <row r="1916" customFormat="1" ht="14.4" customHeight="1" x14ac:dyDescent="0.3"/>
    <row r="1917" customFormat="1" ht="14.4" customHeight="1" x14ac:dyDescent="0.3"/>
    <row r="1918" customFormat="1" ht="14.4" customHeight="1" x14ac:dyDescent="0.3"/>
    <row r="1919" customFormat="1" ht="14.4" customHeight="1" x14ac:dyDescent="0.3"/>
    <row r="1920" customFormat="1" ht="14.4" customHeight="1" x14ac:dyDescent="0.3"/>
    <row r="1921" customFormat="1" ht="14.4" customHeight="1" x14ac:dyDescent="0.3"/>
    <row r="1922" customFormat="1" ht="14.4" customHeight="1" x14ac:dyDescent="0.3"/>
    <row r="1923" customFormat="1" ht="14.4" customHeight="1" x14ac:dyDescent="0.3"/>
    <row r="1924" customFormat="1" ht="14.4" customHeight="1" x14ac:dyDescent="0.3"/>
    <row r="1925" customFormat="1" ht="14.4" customHeight="1" x14ac:dyDescent="0.3"/>
    <row r="1926" customFormat="1" ht="14.4" customHeight="1" x14ac:dyDescent="0.3"/>
    <row r="1927" customFormat="1" ht="14.4" customHeight="1" x14ac:dyDescent="0.3"/>
    <row r="1928" customFormat="1" ht="14.4" customHeight="1" x14ac:dyDescent="0.3"/>
    <row r="1929" customFormat="1" ht="14.4" customHeight="1" x14ac:dyDescent="0.3"/>
    <row r="1930" customFormat="1" ht="14.4" customHeight="1" x14ac:dyDescent="0.3"/>
    <row r="1931" customFormat="1" ht="14.4" customHeight="1" x14ac:dyDescent="0.3"/>
    <row r="1932" customFormat="1" ht="14.4" customHeight="1" x14ac:dyDescent="0.3"/>
    <row r="1933" customFormat="1" ht="14.4" customHeight="1" x14ac:dyDescent="0.3"/>
    <row r="1934" customFormat="1" ht="14.4" customHeight="1" x14ac:dyDescent="0.3"/>
    <row r="1935" customFormat="1" ht="14.4" customHeight="1" x14ac:dyDescent="0.3"/>
    <row r="1936" customFormat="1" ht="14.4" customHeight="1" x14ac:dyDescent="0.3"/>
    <row r="1937" customFormat="1" ht="14.4" customHeight="1" x14ac:dyDescent="0.3"/>
    <row r="1938" customFormat="1" ht="14.4" customHeight="1" x14ac:dyDescent="0.3"/>
    <row r="1939" customFormat="1" ht="14.4" customHeight="1" x14ac:dyDescent="0.3"/>
    <row r="1940" customFormat="1" ht="14.4" customHeight="1" x14ac:dyDescent="0.3"/>
    <row r="1941" customFormat="1" ht="14.4" customHeight="1" x14ac:dyDescent="0.3"/>
    <row r="1942" customFormat="1" ht="14.4" customHeight="1" x14ac:dyDescent="0.3"/>
    <row r="1943" customFormat="1" ht="14.4" customHeight="1" x14ac:dyDescent="0.3"/>
    <row r="1944" customFormat="1" ht="14.4" customHeight="1" x14ac:dyDescent="0.3"/>
    <row r="1945" customFormat="1" ht="14.4" customHeight="1" x14ac:dyDescent="0.3"/>
    <row r="1946" customFormat="1" ht="14.4" customHeight="1" x14ac:dyDescent="0.3"/>
    <row r="1947" customFormat="1" ht="14.4" customHeight="1" x14ac:dyDescent="0.3"/>
    <row r="1948" customFormat="1" ht="14.4" customHeight="1" x14ac:dyDescent="0.3"/>
    <row r="1949" customFormat="1" ht="14.4" customHeight="1" x14ac:dyDescent="0.3"/>
    <row r="1950" customFormat="1" ht="14.4" customHeight="1" x14ac:dyDescent="0.3"/>
    <row r="1951" customFormat="1" ht="14.4" customHeight="1" x14ac:dyDescent="0.3"/>
    <row r="1952" customFormat="1" ht="14.4" customHeight="1" x14ac:dyDescent="0.3"/>
    <row r="1953" customFormat="1" ht="14.4" customHeight="1" x14ac:dyDescent="0.3"/>
    <row r="1954" customFormat="1" ht="14.4" customHeight="1" x14ac:dyDescent="0.3"/>
    <row r="1955" customFormat="1" ht="14.4" customHeight="1" x14ac:dyDescent="0.3"/>
    <row r="1956" customFormat="1" ht="14.4" customHeight="1" x14ac:dyDescent="0.3"/>
    <row r="1957" customFormat="1" ht="14.4" customHeight="1" x14ac:dyDescent="0.3"/>
    <row r="1958" customFormat="1" ht="14.4" customHeight="1" x14ac:dyDescent="0.3"/>
    <row r="1959" customFormat="1" ht="14.4" customHeight="1" x14ac:dyDescent="0.3"/>
    <row r="1960" customFormat="1" ht="14.4" customHeight="1" x14ac:dyDescent="0.3"/>
    <row r="1961" customFormat="1" ht="14.4" customHeight="1" x14ac:dyDescent="0.3"/>
    <row r="1962" customFormat="1" ht="14.4" customHeight="1" x14ac:dyDescent="0.3"/>
    <row r="1963" customFormat="1" ht="14.4" customHeight="1" x14ac:dyDescent="0.3"/>
    <row r="1964" customFormat="1" ht="14.4" customHeight="1" x14ac:dyDescent="0.3"/>
    <row r="1965" customFormat="1" ht="14.4" customHeight="1" x14ac:dyDescent="0.3"/>
    <row r="1966" customFormat="1" ht="14.4" customHeight="1" x14ac:dyDescent="0.3"/>
    <row r="1967" customFormat="1" ht="14.4" customHeight="1" x14ac:dyDescent="0.3"/>
    <row r="1968" customFormat="1" ht="14.4" customHeight="1" x14ac:dyDescent="0.3"/>
    <row r="1969" customFormat="1" ht="14.4" customHeight="1" x14ac:dyDescent="0.3"/>
    <row r="1970" customFormat="1" ht="14.4" customHeight="1" x14ac:dyDescent="0.3"/>
    <row r="1971" customFormat="1" ht="14.4" customHeight="1" x14ac:dyDescent="0.3"/>
    <row r="1972" customFormat="1" ht="14.4" customHeight="1" x14ac:dyDescent="0.3"/>
    <row r="1973" customFormat="1" ht="14.4" customHeight="1" x14ac:dyDescent="0.3"/>
    <row r="1974" customFormat="1" ht="14.4" customHeight="1" x14ac:dyDescent="0.3"/>
    <row r="1975" customFormat="1" ht="14.4" customHeight="1" x14ac:dyDescent="0.3"/>
    <row r="1976" customFormat="1" ht="14.4" customHeight="1" x14ac:dyDescent="0.3"/>
    <row r="1977" customFormat="1" ht="14.4" customHeight="1" x14ac:dyDescent="0.3"/>
    <row r="1978" customFormat="1" ht="14.4" customHeight="1" x14ac:dyDescent="0.3"/>
    <row r="1979" customFormat="1" ht="14.4" customHeight="1" x14ac:dyDescent="0.3"/>
    <row r="1980" customFormat="1" ht="14.4" customHeight="1" x14ac:dyDescent="0.3"/>
    <row r="1981" customFormat="1" ht="14.4" customHeight="1" x14ac:dyDescent="0.3"/>
    <row r="1982" customFormat="1" ht="14.4" customHeight="1" x14ac:dyDescent="0.3"/>
    <row r="1983" customFormat="1" ht="14.4" customHeight="1" x14ac:dyDescent="0.3"/>
    <row r="1984" customFormat="1" ht="14.4" customHeight="1" x14ac:dyDescent="0.3"/>
    <row r="1985" customFormat="1" ht="14.4" customHeight="1" x14ac:dyDescent="0.3"/>
    <row r="1986" customFormat="1" ht="14.4" customHeight="1" x14ac:dyDescent="0.3"/>
    <row r="1987" customFormat="1" ht="14.4" customHeight="1" x14ac:dyDescent="0.3"/>
    <row r="1988" customFormat="1" ht="14.4" customHeight="1" x14ac:dyDescent="0.3"/>
    <row r="1989" customFormat="1" ht="14.4" customHeight="1" x14ac:dyDescent="0.3"/>
    <row r="1990" customFormat="1" ht="14.4" customHeight="1" x14ac:dyDescent="0.3"/>
    <row r="1991" customFormat="1" ht="14.4" customHeight="1" x14ac:dyDescent="0.3"/>
    <row r="1992" customFormat="1" ht="14.4" customHeight="1" x14ac:dyDescent="0.3"/>
    <row r="1993" customFormat="1" ht="14.4" customHeight="1" x14ac:dyDescent="0.3"/>
    <row r="1994" customFormat="1" ht="14.4" customHeight="1" x14ac:dyDescent="0.3"/>
    <row r="1995" customFormat="1" ht="14.4" customHeight="1" x14ac:dyDescent="0.3"/>
    <row r="1996" customFormat="1" ht="14.4" customHeight="1" x14ac:dyDescent="0.3"/>
    <row r="1997" customFormat="1" ht="14.4" customHeight="1" x14ac:dyDescent="0.3"/>
    <row r="1998" customFormat="1" ht="14.4" customHeight="1" x14ac:dyDescent="0.3"/>
    <row r="1999" customFormat="1" ht="14.4" customHeight="1" x14ac:dyDescent="0.3"/>
    <row r="2000" customFormat="1" ht="14.4" customHeight="1" x14ac:dyDescent="0.3"/>
    <row r="2001" customFormat="1" ht="14.4" customHeight="1" x14ac:dyDescent="0.3"/>
    <row r="2002" customFormat="1" ht="14.4" customHeight="1" x14ac:dyDescent="0.3"/>
    <row r="2003" customFormat="1" ht="14.4" customHeight="1" x14ac:dyDescent="0.3"/>
    <row r="2004" customFormat="1" ht="14.4" customHeight="1" x14ac:dyDescent="0.3"/>
    <row r="2005" customFormat="1" ht="14.4" customHeight="1" x14ac:dyDescent="0.3"/>
    <row r="2006" customFormat="1" ht="14.4" customHeight="1" x14ac:dyDescent="0.3"/>
    <row r="2007" customFormat="1" ht="14.4" customHeight="1" x14ac:dyDescent="0.3"/>
    <row r="2008" customFormat="1" ht="14.4" customHeight="1" x14ac:dyDescent="0.3"/>
    <row r="2009" customFormat="1" ht="14.4" customHeight="1" x14ac:dyDescent="0.3"/>
    <row r="2010" customFormat="1" ht="14.4" customHeight="1" x14ac:dyDescent="0.3"/>
    <row r="2011" customFormat="1" ht="14.4" customHeight="1" x14ac:dyDescent="0.3"/>
    <row r="2012" customFormat="1" ht="14.4" customHeight="1" x14ac:dyDescent="0.3"/>
    <row r="2013" customFormat="1" ht="14.4" customHeight="1" x14ac:dyDescent="0.3"/>
    <row r="2014" customFormat="1" ht="14.4" customHeight="1" x14ac:dyDescent="0.3"/>
    <row r="2015" customFormat="1" ht="14.4" customHeight="1" x14ac:dyDescent="0.3"/>
    <row r="2016" customFormat="1" ht="14.4" customHeight="1" x14ac:dyDescent="0.3"/>
    <row r="2017" customFormat="1" ht="14.4" customHeight="1" x14ac:dyDescent="0.3"/>
    <row r="2018" customFormat="1" ht="14.4" customHeight="1" x14ac:dyDescent="0.3"/>
    <row r="2019" customFormat="1" ht="14.4" customHeight="1" x14ac:dyDescent="0.3"/>
    <row r="2020" customFormat="1" ht="14.4" customHeight="1" x14ac:dyDescent="0.3"/>
    <row r="2021" customFormat="1" ht="14.4" customHeight="1" x14ac:dyDescent="0.3"/>
    <row r="2022" customFormat="1" ht="14.4" customHeight="1" x14ac:dyDescent="0.3"/>
    <row r="2023" customFormat="1" ht="14.4" customHeight="1" x14ac:dyDescent="0.3"/>
    <row r="2024" customFormat="1" ht="14.4" customHeight="1" x14ac:dyDescent="0.3"/>
    <row r="2025" customFormat="1" ht="14.4" customHeight="1" x14ac:dyDescent="0.3"/>
    <row r="2026" customFormat="1" ht="14.4" customHeight="1" x14ac:dyDescent="0.3"/>
    <row r="2027" customFormat="1" ht="14.4" customHeight="1" x14ac:dyDescent="0.3"/>
    <row r="2028" customFormat="1" ht="14.4" customHeight="1" x14ac:dyDescent="0.3"/>
    <row r="2029" customFormat="1" ht="14.4" customHeight="1" x14ac:dyDescent="0.3"/>
    <row r="2030" customFormat="1" ht="14.4" customHeight="1" x14ac:dyDescent="0.3"/>
    <row r="2031" customFormat="1" ht="14.4" customHeight="1" x14ac:dyDescent="0.3"/>
    <row r="2032" customFormat="1" ht="14.4" customHeight="1" x14ac:dyDescent="0.3"/>
    <row r="2033" customFormat="1" ht="14.4" customHeight="1" x14ac:dyDescent="0.3"/>
    <row r="2034" customFormat="1" ht="14.4" customHeight="1" x14ac:dyDescent="0.3"/>
    <row r="2035" customFormat="1" ht="14.4" customHeight="1" x14ac:dyDescent="0.3"/>
    <row r="2036" customFormat="1" ht="14.4" customHeight="1" x14ac:dyDescent="0.3"/>
    <row r="2037" customFormat="1" ht="14.4" customHeight="1" x14ac:dyDescent="0.3"/>
    <row r="2038" customFormat="1" ht="14.4" customHeight="1" x14ac:dyDescent="0.3"/>
    <row r="2039" customFormat="1" ht="14.4" customHeight="1" x14ac:dyDescent="0.3"/>
    <row r="2040" customFormat="1" ht="14.4" customHeight="1" x14ac:dyDescent="0.3"/>
    <row r="2041" customFormat="1" ht="14.4" customHeight="1" x14ac:dyDescent="0.3"/>
    <row r="2042" customFormat="1" ht="14.4" customHeight="1" x14ac:dyDescent="0.3"/>
    <row r="2043" customFormat="1" ht="14.4" customHeight="1" x14ac:dyDescent="0.3"/>
    <row r="2044" customFormat="1" ht="14.4" customHeight="1" x14ac:dyDescent="0.3"/>
    <row r="2045" customFormat="1" ht="14.4" customHeight="1" x14ac:dyDescent="0.3"/>
    <row r="2046" customFormat="1" ht="14.4" customHeight="1" x14ac:dyDescent="0.3"/>
    <row r="2047" customFormat="1" ht="14.4" customHeight="1" x14ac:dyDescent="0.3"/>
    <row r="2048" customFormat="1" ht="14.4" customHeight="1" x14ac:dyDescent="0.3"/>
    <row r="2049" customFormat="1" ht="14.4" customHeight="1" x14ac:dyDescent="0.3"/>
    <row r="2050" customFormat="1" ht="14.4" customHeight="1" x14ac:dyDescent="0.3"/>
    <row r="2051" customFormat="1" ht="14.4" customHeight="1" x14ac:dyDescent="0.3"/>
    <row r="2052" customFormat="1" ht="14.4" customHeight="1" x14ac:dyDescent="0.3"/>
    <row r="2053" customFormat="1" ht="14.4" customHeight="1" x14ac:dyDescent="0.3"/>
    <row r="2054" customFormat="1" ht="14.4" customHeight="1" x14ac:dyDescent="0.3"/>
    <row r="2055" customFormat="1" ht="14.4" customHeight="1" x14ac:dyDescent="0.3"/>
    <row r="2056" customFormat="1" ht="14.4" customHeight="1" x14ac:dyDescent="0.3"/>
    <row r="2057" customFormat="1" ht="14.4" customHeight="1" x14ac:dyDescent="0.3"/>
    <row r="2058" customFormat="1" ht="14.4" customHeight="1" x14ac:dyDescent="0.3"/>
    <row r="2059" customFormat="1" ht="14.4" customHeight="1" x14ac:dyDescent="0.3"/>
    <row r="2060" customFormat="1" ht="14.4" customHeight="1" x14ac:dyDescent="0.3"/>
    <row r="2061" customFormat="1" ht="14.4" customHeight="1" x14ac:dyDescent="0.3"/>
    <row r="2062" customFormat="1" ht="14.4" customHeight="1" x14ac:dyDescent="0.3"/>
    <row r="2063" customFormat="1" ht="14.4" customHeight="1" x14ac:dyDescent="0.3"/>
    <row r="2064" customFormat="1" ht="14.4" customHeight="1" x14ac:dyDescent="0.3"/>
    <row r="2065" customFormat="1" ht="14.4" customHeight="1" x14ac:dyDescent="0.3"/>
    <row r="2066" customFormat="1" ht="14.4" customHeight="1" x14ac:dyDescent="0.3"/>
    <row r="2067" customFormat="1" ht="14.4" customHeight="1" x14ac:dyDescent="0.3"/>
    <row r="2068" customFormat="1" ht="14.4" customHeight="1" x14ac:dyDescent="0.3"/>
    <row r="2069" customFormat="1" ht="14.4" customHeight="1" x14ac:dyDescent="0.3"/>
    <row r="2070" customFormat="1" ht="14.4" customHeight="1" x14ac:dyDescent="0.3"/>
    <row r="2071" customFormat="1" ht="14.4" customHeight="1" x14ac:dyDescent="0.3"/>
    <row r="2072" customFormat="1" ht="14.4" customHeight="1" x14ac:dyDescent="0.3"/>
    <row r="2073" customFormat="1" ht="14.4" customHeight="1" x14ac:dyDescent="0.3"/>
    <row r="2074" customFormat="1" ht="14.4" customHeight="1" x14ac:dyDescent="0.3"/>
    <row r="2075" customFormat="1" ht="14.4" customHeight="1" x14ac:dyDescent="0.3"/>
    <row r="2076" customFormat="1" ht="14.4" customHeight="1" x14ac:dyDescent="0.3"/>
    <row r="2077" customFormat="1" ht="14.4" customHeight="1" x14ac:dyDescent="0.3"/>
    <row r="2078" customFormat="1" ht="14.4" customHeight="1" x14ac:dyDescent="0.3"/>
    <row r="2079" customFormat="1" ht="14.4" customHeight="1" x14ac:dyDescent="0.3"/>
    <row r="2080" customFormat="1" ht="14.4" customHeight="1" x14ac:dyDescent="0.3"/>
    <row r="2081" customFormat="1" ht="14.4" customHeight="1" x14ac:dyDescent="0.3"/>
    <row r="2082" customFormat="1" ht="14.4" customHeight="1" x14ac:dyDescent="0.3"/>
    <row r="2083" customFormat="1" ht="14.4" customHeight="1" x14ac:dyDescent="0.3"/>
    <row r="2084" customFormat="1" ht="14.4" customHeight="1" x14ac:dyDescent="0.3"/>
    <row r="2085" customFormat="1" ht="14.4" customHeight="1" x14ac:dyDescent="0.3"/>
    <row r="2086" customFormat="1" ht="14.4" customHeight="1" x14ac:dyDescent="0.3"/>
    <row r="2087" customFormat="1" ht="14.4" customHeight="1" x14ac:dyDescent="0.3"/>
    <row r="2088" customFormat="1" ht="14.4" customHeight="1" x14ac:dyDescent="0.3"/>
    <row r="2089" customFormat="1" ht="14.4" customHeight="1" x14ac:dyDescent="0.3"/>
    <row r="2090" customFormat="1" ht="14.4" customHeight="1" x14ac:dyDescent="0.3"/>
    <row r="2091" customFormat="1" ht="14.4" customHeight="1" x14ac:dyDescent="0.3"/>
    <row r="2092" customFormat="1" ht="14.4" customHeight="1" x14ac:dyDescent="0.3"/>
    <row r="2093" customFormat="1" ht="14.4" customHeight="1" x14ac:dyDescent="0.3"/>
    <row r="2094" customFormat="1" ht="14.4" customHeight="1" x14ac:dyDescent="0.3"/>
    <row r="2095" customFormat="1" ht="14.4" customHeight="1" x14ac:dyDescent="0.3"/>
    <row r="2096" customFormat="1" ht="14.4" customHeight="1" x14ac:dyDescent="0.3"/>
    <row r="2097" customFormat="1" ht="14.4" customHeight="1" x14ac:dyDescent="0.3"/>
    <row r="2098" customFormat="1" ht="14.4" customHeight="1" x14ac:dyDescent="0.3"/>
    <row r="2099" customFormat="1" ht="14.4" customHeight="1" x14ac:dyDescent="0.3"/>
    <row r="2100" customFormat="1" ht="14.4" customHeight="1" x14ac:dyDescent="0.3"/>
    <row r="2101" customFormat="1" ht="14.4" customHeight="1" x14ac:dyDescent="0.3"/>
    <row r="2102" customFormat="1" ht="14.4" customHeight="1" x14ac:dyDescent="0.3"/>
    <row r="2103" customFormat="1" ht="14.4" customHeight="1" x14ac:dyDescent="0.3"/>
    <row r="2104" customFormat="1" ht="14.4" customHeight="1" x14ac:dyDescent="0.3"/>
    <row r="2105" customFormat="1" ht="14.4" customHeight="1" x14ac:dyDescent="0.3"/>
    <row r="2106" customFormat="1" ht="14.4" customHeight="1" x14ac:dyDescent="0.3"/>
    <row r="2107" customFormat="1" ht="14.4" customHeight="1" x14ac:dyDescent="0.3"/>
    <row r="2108" customFormat="1" ht="14.4" customHeight="1" x14ac:dyDescent="0.3"/>
    <row r="2109" customFormat="1" ht="14.4" customHeight="1" x14ac:dyDescent="0.3"/>
    <row r="2110" customFormat="1" ht="14.4" customHeight="1" x14ac:dyDescent="0.3"/>
    <row r="2111" customFormat="1" ht="14.4" customHeight="1" x14ac:dyDescent="0.3"/>
    <row r="2112" customFormat="1" ht="14.4" customHeight="1" x14ac:dyDescent="0.3"/>
    <row r="2113" customFormat="1" ht="14.4" customHeight="1" x14ac:dyDescent="0.3"/>
    <row r="2114" customFormat="1" ht="14.4" customHeight="1" x14ac:dyDescent="0.3"/>
    <row r="2115" customFormat="1" ht="14.4" customHeight="1" x14ac:dyDescent="0.3"/>
    <row r="2116" customFormat="1" ht="14.4" customHeight="1" x14ac:dyDescent="0.3"/>
    <row r="2117" customFormat="1" ht="14.4" customHeight="1" x14ac:dyDescent="0.3"/>
    <row r="2118" customFormat="1" ht="14.4" customHeight="1" x14ac:dyDescent="0.3"/>
    <row r="2119" customFormat="1" ht="14.4" customHeight="1" x14ac:dyDescent="0.3"/>
    <row r="2120" customFormat="1" ht="14.4" customHeight="1" x14ac:dyDescent="0.3"/>
    <row r="2121" customFormat="1" ht="14.4" customHeight="1" x14ac:dyDescent="0.3"/>
    <row r="2122" customFormat="1" ht="14.4" customHeight="1" x14ac:dyDescent="0.3"/>
    <row r="2123" customFormat="1" ht="14.4" customHeight="1" x14ac:dyDescent="0.3"/>
    <row r="2124" customFormat="1" ht="14.4" customHeight="1" x14ac:dyDescent="0.3"/>
    <row r="2125" customFormat="1" ht="14.4" customHeight="1" x14ac:dyDescent="0.3"/>
    <row r="2126" customFormat="1" ht="14.4" customHeight="1" x14ac:dyDescent="0.3"/>
    <row r="2127" customFormat="1" ht="14.4" customHeight="1" x14ac:dyDescent="0.3"/>
    <row r="2128" customFormat="1" ht="14.4" customHeight="1" x14ac:dyDescent="0.3"/>
    <row r="2129" customFormat="1" ht="14.4" customHeight="1" x14ac:dyDescent="0.3"/>
    <row r="2130" customFormat="1" ht="14.4" customHeight="1" x14ac:dyDescent="0.3"/>
    <row r="2131" customFormat="1" ht="14.4" customHeight="1" x14ac:dyDescent="0.3"/>
    <row r="2132" customFormat="1" ht="14.4" customHeight="1" x14ac:dyDescent="0.3"/>
    <row r="2133" customFormat="1" ht="14.4" customHeight="1" x14ac:dyDescent="0.3"/>
    <row r="2134" customFormat="1" ht="14.4" customHeight="1" x14ac:dyDescent="0.3"/>
    <row r="2135" customFormat="1" ht="14.4" customHeight="1" x14ac:dyDescent="0.3"/>
    <row r="2136" customFormat="1" ht="14.4" customHeight="1" x14ac:dyDescent="0.3"/>
    <row r="2137" customFormat="1" ht="14.4" customHeight="1" x14ac:dyDescent="0.3"/>
    <row r="2138" customFormat="1" ht="14.4" customHeight="1" x14ac:dyDescent="0.3"/>
    <row r="2139" customFormat="1" ht="14.4" customHeight="1" x14ac:dyDescent="0.3"/>
    <row r="2140" customFormat="1" ht="14.4" customHeight="1" x14ac:dyDescent="0.3"/>
    <row r="2141" customFormat="1" ht="14.4" customHeight="1" x14ac:dyDescent="0.3"/>
    <row r="2142" customFormat="1" ht="14.4" customHeight="1" x14ac:dyDescent="0.3"/>
    <row r="2143" customFormat="1" ht="14.4" customHeight="1" x14ac:dyDescent="0.3"/>
    <row r="2144" customFormat="1" ht="14.4" customHeight="1" x14ac:dyDescent="0.3"/>
    <row r="2145" customFormat="1" ht="14.4" customHeight="1" x14ac:dyDescent="0.3"/>
    <row r="2146" customFormat="1" ht="14.4" customHeight="1" x14ac:dyDescent="0.3"/>
    <row r="2147" customFormat="1" ht="14.4" customHeight="1" x14ac:dyDescent="0.3"/>
    <row r="2148" customFormat="1" ht="14.4" customHeight="1" x14ac:dyDescent="0.3"/>
    <row r="2149" customFormat="1" ht="14.4" customHeight="1" x14ac:dyDescent="0.3"/>
    <row r="2150" customFormat="1" ht="14.4" customHeight="1" x14ac:dyDescent="0.3"/>
    <row r="2151" customFormat="1" ht="14.4" customHeight="1" x14ac:dyDescent="0.3"/>
    <row r="2152" customFormat="1" ht="14.4" customHeight="1" x14ac:dyDescent="0.3"/>
    <row r="2153" customFormat="1" ht="14.4" customHeight="1" x14ac:dyDescent="0.3"/>
    <row r="2154" customFormat="1" ht="14.4" customHeight="1" x14ac:dyDescent="0.3"/>
    <row r="2155" customFormat="1" ht="14.4" customHeight="1" x14ac:dyDescent="0.3"/>
    <row r="2156" customFormat="1" ht="14.4" customHeight="1" x14ac:dyDescent="0.3"/>
    <row r="2157" customFormat="1" ht="14.4" customHeight="1" x14ac:dyDescent="0.3"/>
    <row r="2158" customFormat="1" ht="14.4" customHeight="1" x14ac:dyDescent="0.3"/>
    <row r="2159" customFormat="1" ht="14.4" customHeight="1" x14ac:dyDescent="0.3"/>
    <row r="2160" customFormat="1" ht="14.4" customHeight="1" x14ac:dyDescent="0.3"/>
    <row r="2161" customFormat="1" ht="14.4" customHeight="1" x14ac:dyDescent="0.3"/>
    <row r="2162" customFormat="1" ht="14.4" customHeight="1" x14ac:dyDescent="0.3"/>
    <row r="2163" customFormat="1" ht="14.4" customHeight="1" x14ac:dyDescent="0.3"/>
    <row r="2164" customFormat="1" ht="14.4" customHeight="1" x14ac:dyDescent="0.3"/>
    <row r="2165" customFormat="1" ht="14.4" customHeight="1" x14ac:dyDescent="0.3"/>
    <row r="2166" customFormat="1" ht="14.4" customHeight="1" x14ac:dyDescent="0.3"/>
    <row r="2167" customFormat="1" ht="14.4" customHeight="1" x14ac:dyDescent="0.3"/>
    <row r="2168" customFormat="1" ht="14.4" customHeight="1" x14ac:dyDescent="0.3"/>
    <row r="2169" customFormat="1" ht="14.4" customHeight="1" x14ac:dyDescent="0.3"/>
    <row r="2170" customFormat="1" ht="14.4" customHeight="1" x14ac:dyDescent="0.3"/>
    <row r="2171" customFormat="1" ht="14.4" customHeight="1" x14ac:dyDescent="0.3"/>
    <row r="2172" customFormat="1" ht="14.4" customHeight="1" x14ac:dyDescent="0.3"/>
    <row r="2173" customFormat="1" ht="14.4" customHeight="1" x14ac:dyDescent="0.3"/>
    <row r="2174" customFormat="1" ht="14.4" customHeight="1" x14ac:dyDescent="0.3"/>
    <row r="2175" customFormat="1" ht="14.4" customHeight="1" x14ac:dyDescent="0.3"/>
    <row r="2176" customFormat="1" ht="14.4" customHeight="1" x14ac:dyDescent="0.3"/>
    <row r="2177" customFormat="1" ht="14.4" customHeight="1" x14ac:dyDescent="0.3"/>
    <row r="2178" customFormat="1" ht="14.4" customHeight="1" x14ac:dyDescent="0.3"/>
    <row r="2179" customFormat="1" ht="14.4" customHeight="1" x14ac:dyDescent="0.3"/>
    <row r="2180" customFormat="1" ht="14.4" customHeight="1" x14ac:dyDescent="0.3"/>
    <row r="2181" customFormat="1" ht="14.4" customHeight="1" x14ac:dyDescent="0.3"/>
    <row r="2182" customFormat="1" ht="14.4" customHeight="1" x14ac:dyDescent="0.3"/>
    <row r="2183" customFormat="1" ht="14.4" customHeight="1" x14ac:dyDescent="0.3"/>
    <row r="2184" customFormat="1" ht="14.4" customHeight="1" x14ac:dyDescent="0.3"/>
    <row r="2185" customFormat="1" ht="14.4" customHeight="1" x14ac:dyDescent="0.3"/>
    <row r="2186" customFormat="1" ht="14.4" customHeight="1" x14ac:dyDescent="0.3"/>
    <row r="2187" customFormat="1" ht="14.4" customHeight="1" x14ac:dyDescent="0.3"/>
    <row r="2188" customFormat="1" ht="14.4" customHeight="1" x14ac:dyDescent="0.3"/>
    <row r="2189" customFormat="1" ht="14.4" customHeight="1" x14ac:dyDescent="0.3"/>
    <row r="2190" customFormat="1" ht="14.4" customHeight="1" x14ac:dyDescent="0.3"/>
    <row r="2191" customFormat="1" ht="14.4" customHeight="1" x14ac:dyDescent="0.3"/>
    <row r="2192" customFormat="1" ht="14.4" customHeight="1" x14ac:dyDescent="0.3"/>
    <row r="2193" customFormat="1" ht="14.4" customHeight="1" x14ac:dyDescent="0.3"/>
    <row r="2194" customFormat="1" ht="14.4" customHeight="1" x14ac:dyDescent="0.3"/>
    <row r="2195" customFormat="1" ht="14.4" customHeight="1" x14ac:dyDescent="0.3"/>
    <row r="2196" customFormat="1" ht="14.4" customHeight="1" x14ac:dyDescent="0.3"/>
    <row r="2197" customFormat="1" ht="14.4" customHeight="1" x14ac:dyDescent="0.3"/>
    <row r="2198" customFormat="1" ht="14.4" customHeight="1" x14ac:dyDescent="0.3"/>
    <row r="2199" customFormat="1" ht="14.4" customHeight="1" x14ac:dyDescent="0.3"/>
    <row r="2200" customFormat="1" ht="14.4" customHeight="1" x14ac:dyDescent="0.3"/>
    <row r="2201" customFormat="1" ht="14.4" customHeight="1" x14ac:dyDescent="0.3"/>
    <row r="2202" customFormat="1" ht="14.4" customHeight="1" x14ac:dyDescent="0.3"/>
    <row r="2203" customFormat="1" ht="14.4" customHeight="1" x14ac:dyDescent="0.3"/>
    <row r="2204" customFormat="1" ht="14.4" customHeight="1" x14ac:dyDescent="0.3"/>
    <row r="2205" customFormat="1" ht="14.4" customHeight="1" x14ac:dyDescent="0.3"/>
    <row r="2206" customFormat="1" ht="14.4" customHeight="1" x14ac:dyDescent="0.3"/>
    <row r="2207" customFormat="1" ht="14.4" customHeight="1" x14ac:dyDescent="0.3"/>
    <row r="2208" customFormat="1" ht="14.4" customHeight="1" x14ac:dyDescent="0.3"/>
    <row r="2209" customFormat="1" ht="14.4" customHeight="1" x14ac:dyDescent="0.3"/>
    <row r="2210" customFormat="1" ht="14.4" customHeight="1" x14ac:dyDescent="0.3"/>
    <row r="2211" customFormat="1" ht="14.4" customHeight="1" x14ac:dyDescent="0.3"/>
    <row r="2212" customFormat="1" ht="14.4" customHeight="1" x14ac:dyDescent="0.3"/>
    <row r="2213" customFormat="1" ht="14.4" customHeight="1" x14ac:dyDescent="0.3"/>
    <row r="2214" customFormat="1" ht="14.4" customHeight="1" x14ac:dyDescent="0.3"/>
    <row r="2215" customFormat="1" ht="14.4" customHeight="1" x14ac:dyDescent="0.3"/>
    <row r="2216" customFormat="1" ht="14.4" customHeight="1" x14ac:dyDescent="0.3"/>
    <row r="2217" customFormat="1" ht="14.4" customHeight="1" x14ac:dyDescent="0.3"/>
    <row r="2218" customFormat="1" ht="14.4" customHeight="1" x14ac:dyDescent="0.3"/>
    <row r="2219" customFormat="1" ht="14.4" customHeight="1" x14ac:dyDescent="0.3"/>
    <row r="2220" customFormat="1" ht="14.4" customHeight="1" x14ac:dyDescent="0.3"/>
    <row r="2221" customFormat="1" ht="14.4" customHeight="1" x14ac:dyDescent="0.3"/>
    <row r="2222" customFormat="1" ht="14.4" customHeight="1" x14ac:dyDescent="0.3"/>
    <row r="2223" customFormat="1" ht="14.4" customHeight="1" x14ac:dyDescent="0.3"/>
    <row r="2224" customFormat="1" ht="14.4" customHeight="1" x14ac:dyDescent="0.3"/>
    <row r="2225" customFormat="1" ht="14.4" customHeight="1" x14ac:dyDescent="0.3"/>
    <row r="2226" customFormat="1" ht="14.4" customHeight="1" x14ac:dyDescent="0.3"/>
    <row r="2227" customFormat="1" ht="14.4" customHeight="1" x14ac:dyDescent="0.3"/>
    <row r="2228" customFormat="1" ht="14.4" customHeight="1" x14ac:dyDescent="0.3"/>
    <row r="2229" customFormat="1" ht="14.4" customHeight="1" x14ac:dyDescent="0.3"/>
    <row r="2230" customFormat="1" ht="14.4" customHeight="1" x14ac:dyDescent="0.3"/>
    <row r="2231" customFormat="1" ht="14.4" customHeight="1" x14ac:dyDescent="0.3"/>
    <row r="2232" customFormat="1" ht="14.4" customHeight="1" x14ac:dyDescent="0.3"/>
    <row r="2233" customFormat="1" ht="14.4" customHeight="1" x14ac:dyDescent="0.3"/>
    <row r="2234" customFormat="1" ht="14.4" customHeight="1" x14ac:dyDescent="0.3"/>
    <row r="2235" customFormat="1" ht="14.4" customHeight="1" x14ac:dyDescent="0.3"/>
    <row r="2236" customFormat="1" ht="14.4" customHeight="1" x14ac:dyDescent="0.3"/>
    <row r="2237" customFormat="1" ht="14.4" customHeight="1" x14ac:dyDescent="0.3"/>
    <row r="2238" customFormat="1" ht="14.4" customHeight="1" x14ac:dyDescent="0.3"/>
    <row r="2239" customFormat="1" ht="14.4" customHeight="1" x14ac:dyDescent="0.3"/>
    <row r="2240" customFormat="1" ht="14.4" customHeight="1" x14ac:dyDescent="0.3"/>
    <row r="2241" customFormat="1" ht="14.4" customHeight="1" x14ac:dyDescent="0.3"/>
    <row r="2242" customFormat="1" ht="14.4" customHeight="1" x14ac:dyDescent="0.3"/>
    <row r="2243" customFormat="1" ht="14.4" customHeight="1" x14ac:dyDescent="0.3"/>
    <row r="2244" customFormat="1" ht="14.4" customHeight="1" x14ac:dyDescent="0.3"/>
    <row r="2245" customFormat="1" ht="14.4" customHeight="1" x14ac:dyDescent="0.3"/>
    <row r="2246" customFormat="1" ht="14.4" customHeight="1" x14ac:dyDescent="0.3"/>
    <row r="2247" customFormat="1" ht="14.4" customHeight="1" x14ac:dyDescent="0.3"/>
    <row r="2248" customFormat="1" ht="14.4" customHeight="1" x14ac:dyDescent="0.3"/>
    <row r="2249" customFormat="1" ht="14.4" customHeight="1" x14ac:dyDescent="0.3"/>
    <row r="2250" customFormat="1" ht="14.4" customHeight="1" x14ac:dyDescent="0.3"/>
    <row r="2251" customFormat="1" ht="14.4" customHeight="1" x14ac:dyDescent="0.3"/>
    <row r="2252" customFormat="1" ht="14.4" customHeight="1" x14ac:dyDescent="0.3"/>
    <row r="2253" customFormat="1" ht="14.4" customHeight="1" x14ac:dyDescent="0.3"/>
    <row r="2254" customFormat="1" ht="14.4" customHeight="1" x14ac:dyDescent="0.3"/>
    <row r="2255" customFormat="1" ht="14.4" customHeight="1" x14ac:dyDescent="0.3"/>
    <row r="2256" customFormat="1" ht="14.4" customHeight="1" x14ac:dyDescent="0.3"/>
    <row r="2257" customFormat="1" ht="14.4" customHeight="1" x14ac:dyDescent="0.3"/>
    <row r="2258" customFormat="1" ht="14.4" customHeight="1" x14ac:dyDescent="0.3"/>
    <row r="2259" customFormat="1" ht="14.4" customHeight="1" x14ac:dyDescent="0.3"/>
    <row r="2260" customFormat="1" ht="14.4" customHeight="1" x14ac:dyDescent="0.3"/>
    <row r="2261" customFormat="1" ht="14.4" customHeight="1" x14ac:dyDescent="0.3"/>
    <row r="2262" customFormat="1" ht="14.4" customHeight="1" x14ac:dyDescent="0.3"/>
    <row r="2263" customFormat="1" ht="14.4" customHeight="1" x14ac:dyDescent="0.3"/>
    <row r="2264" customFormat="1" ht="14.4" customHeight="1" x14ac:dyDescent="0.3"/>
    <row r="2265" customFormat="1" ht="14.4" customHeight="1" x14ac:dyDescent="0.3"/>
    <row r="2266" customFormat="1" ht="14.4" customHeight="1" x14ac:dyDescent="0.3"/>
    <row r="2267" customFormat="1" ht="14.4" customHeight="1" x14ac:dyDescent="0.3"/>
    <row r="2268" customFormat="1" ht="14.4" customHeight="1" x14ac:dyDescent="0.3"/>
    <row r="2269" customFormat="1" ht="14.4" customHeight="1" x14ac:dyDescent="0.3"/>
    <row r="2270" customFormat="1" ht="14.4" customHeight="1" x14ac:dyDescent="0.3"/>
    <row r="2271" customFormat="1" ht="14.4" customHeight="1" x14ac:dyDescent="0.3"/>
    <row r="2272" customFormat="1" ht="14.4" customHeight="1" x14ac:dyDescent="0.3"/>
    <row r="2273" customFormat="1" ht="14.4" customHeight="1" x14ac:dyDescent="0.3"/>
    <row r="2274" customFormat="1" ht="14.4" customHeight="1" x14ac:dyDescent="0.3"/>
    <row r="2275" customFormat="1" ht="14.4" customHeight="1" x14ac:dyDescent="0.3"/>
    <row r="2276" customFormat="1" ht="14.4" customHeight="1" x14ac:dyDescent="0.3"/>
    <row r="2277" customFormat="1" ht="14.4" customHeight="1" x14ac:dyDescent="0.3"/>
    <row r="2278" customFormat="1" ht="14.4" customHeight="1" x14ac:dyDescent="0.3"/>
    <row r="2279" customFormat="1" ht="14.4" customHeight="1" x14ac:dyDescent="0.3"/>
    <row r="2280" customFormat="1" ht="14.4" customHeight="1" x14ac:dyDescent="0.3"/>
    <row r="2281" customFormat="1" ht="14.4" customHeight="1" x14ac:dyDescent="0.3"/>
    <row r="2282" customFormat="1" ht="14.4" customHeight="1" x14ac:dyDescent="0.3"/>
    <row r="2283" customFormat="1" ht="14.4" customHeight="1" x14ac:dyDescent="0.3"/>
    <row r="2284" customFormat="1" ht="14.4" customHeight="1" x14ac:dyDescent="0.3"/>
    <row r="2285" customFormat="1" ht="14.4" customHeight="1" x14ac:dyDescent="0.3"/>
    <row r="2286" customFormat="1" ht="14.4" customHeight="1" x14ac:dyDescent="0.3"/>
    <row r="2287" customFormat="1" ht="14.4" customHeight="1" x14ac:dyDescent="0.3"/>
    <row r="2288" customFormat="1" ht="14.4" customHeight="1" x14ac:dyDescent="0.3"/>
    <row r="2289" customFormat="1" ht="14.4" customHeight="1" x14ac:dyDescent="0.3"/>
    <row r="2290" customFormat="1" ht="14.4" customHeight="1" x14ac:dyDescent="0.3"/>
    <row r="2291" customFormat="1" ht="14.4" customHeight="1" x14ac:dyDescent="0.3"/>
    <row r="2292" customFormat="1" ht="14.4" customHeight="1" x14ac:dyDescent="0.3"/>
    <row r="2293" customFormat="1" ht="14.4" customHeight="1" x14ac:dyDescent="0.3"/>
    <row r="2294" customFormat="1" ht="14.4" customHeight="1" x14ac:dyDescent="0.3"/>
    <row r="2295" customFormat="1" ht="14.4" customHeight="1" x14ac:dyDescent="0.3"/>
    <row r="2296" customFormat="1" ht="14.4" customHeight="1" x14ac:dyDescent="0.3"/>
    <row r="2297" customFormat="1" ht="14.4" customHeight="1" x14ac:dyDescent="0.3"/>
    <row r="2298" customFormat="1" ht="14.4" customHeight="1" x14ac:dyDescent="0.3"/>
    <row r="2299" customFormat="1" ht="14.4" customHeight="1" x14ac:dyDescent="0.3"/>
    <row r="2300" customFormat="1" ht="14.4" customHeight="1" x14ac:dyDescent="0.3"/>
    <row r="2301" customFormat="1" ht="14.4" customHeight="1" x14ac:dyDescent="0.3"/>
    <row r="2302" customFormat="1" ht="14.4" customHeight="1" x14ac:dyDescent="0.3"/>
    <row r="2303" customFormat="1" ht="14.4" customHeight="1" x14ac:dyDescent="0.3"/>
    <row r="2304" customFormat="1" ht="14.4" customHeight="1" x14ac:dyDescent="0.3"/>
    <row r="2305" customFormat="1" ht="14.4" customHeight="1" x14ac:dyDescent="0.3"/>
    <row r="2306" customFormat="1" ht="14.4" customHeight="1" x14ac:dyDescent="0.3"/>
    <row r="2307" customFormat="1" ht="14.4" customHeight="1" x14ac:dyDescent="0.3"/>
    <row r="2308" customFormat="1" ht="14.4" customHeight="1" x14ac:dyDescent="0.3"/>
    <row r="2309" customFormat="1" ht="14.4" customHeight="1" x14ac:dyDescent="0.3"/>
    <row r="2310" customFormat="1" ht="14.4" customHeight="1" x14ac:dyDescent="0.3"/>
    <row r="2311" customFormat="1" ht="14.4" customHeight="1" x14ac:dyDescent="0.3"/>
    <row r="2312" customFormat="1" ht="14.4" customHeight="1" x14ac:dyDescent="0.3"/>
    <row r="2313" customFormat="1" ht="14.4" customHeight="1" x14ac:dyDescent="0.3"/>
    <row r="2314" customFormat="1" ht="14.4" customHeight="1" x14ac:dyDescent="0.3"/>
    <row r="2315" customFormat="1" ht="14.4" customHeight="1" x14ac:dyDescent="0.3"/>
    <row r="2316" customFormat="1" ht="14.4" customHeight="1" x14ac:dyDescent="0.3"/>
    <row r="2317" customFormat="1" ht="14.4" customHeight="1" x14ac:dyDescent="0.3"/>
    <row r="2318" customFormat="1" ht="14.4" customHeight="1" x14ac:dyDescent="0.3"/>
    <row r="2319" customFormat="1" ht="14.4" customHeight="1" x14ac:dyDescent="0.3"/>
    <row r="2320" customFormat="1" ht="14.4" customHeight="1" x14ac:dyDescent="0.3"/>
    <row r="2321" customFormat="1" ht="14.4" customHeight="1" x14ac:dyDescent="0.3"/>
    <row r="2322" customFormat="1" ht="14.4" customHeight="1" x14ac:dyDescent="0.3"/>
    <row r="2323" customFormat="1" ht="14.4" customHeight="1" x14ac:dyDescent="0.3"/>
    <row r="2324" customFormat="1" ht="14.4" customHeight="1" x14ac:dyDescent="0.3"/>
    <row r="2325" customFormat="1" ht="14.4" customHeight="1" x14ac:dyDescent="0.3"/>
    <row r="2326" customFormat="1" ht="14.4" customHeight="1" x14ac:dyDescent="0.3"/>
    <row r="2327" customFormat="1" ht="14.4" customHeight="1" x14ac:dyDescent="0.3"/>
    <row r="2328" customFormat="1" ht="14.4" customHeight="1" x14ac:dyDescent="0.3"/>
    <row r="2329" customFormat="1" ht="14.4" customHeight="1" x14ac:dyDescent="0.3"/>
    <row r="2330" customFormat="1" ht="14.4" customHeight="1" x14ac:dyDescent="0.3"/>
    <row r="2331" customFormat="1" ht="14.4" customHeight="1" x14ac:dyDescent="0.3"/>
    <row r="2332" customFormat="1" ht="14.4" customHeight="1" x14ac:dyDescent="0.3"/>
    <row r="2333" customFormat="1" ht="14.4" customHeight="1" x14ac:dyDescent="0.3"/>
    <row r="2334" customFormat="1" ht="14.4" customHeight="1" x14ac:dyDescent="0.3"/>
    <row r="2335" customFormat="1" ht="14.4" customHeight="1" x14ac:dyDescent="0.3"/>
    <row r="2336" customFormat="1" ht="14.4" customHeight="1" x14ac:dyDescent="0.3"/>
    <row r="2337" customFormat="1" ht="14.4" customHeight="1" x14ac:dyDescent="0.3"/>
    <row r="2338" customFormat="1" ht="14.4" customHeight="1" x14ac:dyDescent="0.3"/>
    <row r="2339" customFormat="1" ht="14.4" customHeight="1" x14ac:dyDescent="0.3"/>
    <row r="2340" customFormat="1" ht="14.4" customHeight="1" x14ac:dyDescent="0.3"/>
    <row r="2341" customFormat="1" ht="14.4" customHeight="1" x14ac:dyDescent="0.3"/>
    <row r="2342" customFormat="1" ht="14.4" customHeight="1" x14ac:dyDescent="0.3"/>
    <row r="2343" customFormat="1" ht="14.4" customHeight="1" x14ac:dyDescent="0.3"/>
    <row r="2344" customFormat="1" ht="14.4" customHeight="1" x14ac:dyDescent="0.3"/>
    <row r="2345" customFormat="1" ht="14.4" customHeight="1" x14ac:dyDescent="0.3"/>
    <row r="2346" customFormat="1" ht="14.4" customHeight="1" x14ac:dyDescent="0.3"/>
    <row r="2347" customFormat="1" ht="14.4" customHeight="1" x14ac:dyDescent="0.3"/>
    <row r="2348" customFormat="1" ht="14.4" customHeight="1" x14ac:dyDescent="0.3"/>
    <row r="2349" customFormat="1" ht="14.4" customHeight="1" x14ac:dyDescent="0.3"/>
    <row r="2350" customFormat="1" ht="14.4" customHeight="1" x14ac:dyDescent="0.3"/>
    <row r="2351" customFormat="1" ht="14.4" customHeight="1" x14ac:dyDescent="0.3"/>
    <row r="2352" customFormat="1" ht="14.4" customHeight="1" x14ac:dyDescent="0.3"/>
    <row r="2353" customFormat="1" ht="14.4" customHeight="1" x14ac:dyDescent="0.3"/>
    <row r="2354" customFormat="1" ht="14.4" customHeight="1" x14ac:dyDescent="0.3"/>
    <row r="2355" customFormat="1" ht="14.4" customHeight="1" x14ac:dyDescent="0.3"/>
    <row r="2356" customFormat="1" ht="14.4" customHeight="1" x14ac:dyDescent="0.3"/>
    <row r="2357" customFormat="1" ht="14.4" customHeight="1" x14ac:dyDescent="0.3"/>
    <row r="2358" customFormat="1" ht="14.4" customHeight="1" x14ac:dyDescent="0.3"/>
    <row r="2359" customFormat="1" ht="14.4" customHeight="1" x14ac:dyDescent="0.3"/>
    <row r="2360" customFormat="1" ht="14.4" customHeight="1" x14ac:dyDescent="0.3"/>
    <row r="2361" customFormat="1" ht="14.4" customHeight="1" x14ac:dyDescent="0.3"/>
    <row r="2362" customFormat="1" ht="14.4" customHeight="1" x14ac:dyDescent="0.3"/>
    <row r="2363" customFormat="1" ht="14.4" customHeight="1" x14ac:dyDescent="0.3"/>
    <row r="2364" customFormat="1" ht="14.4" customHeight="1" x14ac:dyDescent="0.3"/>
    <row r="2365" customFormat="1" ht="14.4" customHeight="1" x14ac:dyDescent="0.3"/>
    <row r="2366" customFormat="1" ht="14.4" customHeight="1" x14ac:dyDescent="0.3"/>
    <row r="2367" customFormat="1" ht="14.4" customHeight="1" x14ac:dyDescent="0.3"/>
    <row r="2368" customFormat="1" ht="14.4" customHeight="1" x14ac:dyDescent="0.3"/>
    <row r="2369" customFormat="1" ht="14.4" customHeight="1" x14ac:dyDescent="0.3"/>
    <row r="2370" customFormat="1" ht="14.4" customHeight="1" x14ac:dyDescent="0.3"/>
    <row r="2371" customFormat="1" ht="14.4" customHeight="1" x14ac:dyDescent="0.3"/>
    <row r="2372" customFormat="1" ht="14.4" customHeight="1" x14ac:dyDescent="0.3"/>
    <row r="2373" customFormat="1" ht="14.4" customHeight="1" x14ac:dyDescent="0.3"/>
    <row r="2374" customFormat="1" ht="14.4" customHeight="1" x14ac:dyDescent="0.3"/>
    <row r="2375" customFormat="1" ht="14.4" customHeight="1" x14ac:dyDescent="0.3"/>
    <row r="2376" customFormat="1" ht="14.4" customHeight="1" x14ac:dyDescent="0.3"/>
    <row r="2377" customFormat="1" ht="14.4" customHeight="1" x14ac:dyDescent="0.3"/>
    <row r="2378" customFormat="1" ht="14.4" customHeight="1" x14ac:dyDescent="0.3"/>
    <row r="2379" customFormat="1" ht="14.4" customHeight="1" x14ac:dyDescent="0.3"/>
    <row r="2380" customFormat="1" ht="14.4" customHeight="1" x14ac:dyDescent="0.3"/>
    <row r="2381" customFormat="1" ht="14.4" customHeight="1" x14ac:dyDescent="0.3"/>
    <row r="2382" customFormat="1" ht="14.4" customHeight="1" x14ac:dyDescent="0.3"/>
    <row r="2383" customFormat="1" ht="14.4" customHeight="1" x14ac:dyDescent="0.3"/>
    <row r="2384" customFormat="1" ht="14.4" customHeight="1" x14ac:dyDescent="0.3"/>
    <row r="2385" customFormat="1" ht="14.4" customHeight="1" x14ac:dyDescent="0.3"/>
    <row r="2386" customFormat="1" ht="14.4" customHeight="1" x14ac:dyDescent="0.3"/>
    <row r="2387" customFormat="1" ht="14.4" customHeight="1" x14ac:dyDescent="0.3"/>
    <row r="2388" customFormat="1" ht="14.4" customHeight="1" x14ac:dyDescent="0.3"/>
    <row r="2389" customFormat="1" ht="14.4" customHeight="1" x14ac:dyDescent="0.3"/>
    <row r="2390" customFormat="1" ht="14.4" customHeight="1" x14ac:dyDescent="0.3"/>
    <row r="2391" customFormat="1" ht="14.4" customHeight="1" x14ac:dyDescent="0.3"/>
    <row r="2392" customFormat="1" ht="14.4" customHeight="1" x14ac:dyDescent="0.3"/>
    <row r="2393" customFormat="1" ht="14.4" customHeight="1" x14ac:dyDescent="0.3"/>
    <row r="2394" customFormat="1" ht="14.4" customHeight="1" x14ac:dyDescent="0.3"/>
    <row r="2395" customFormat="1" ht="14.4" customHeight="1" x14ac:dyDescent="0.3"/>
    <row r="2396" customFormat="1" ht="14.4" customHeight="1" x14ac:dyDescent="0.3"/>
    <row r="2397" customFormat="1" ht="14.4" customHeight="1" x14ac:dyDescent="0.3"/>
    <row r="2398" customFormat="1" ht="14.4" customHeight="1" x14ac:dyDescent="0.3"/>
    <row r="2399" customFormat="1" ht="14.4" customHeight="1" x14ac:dyDescent="0.3"/>
    <row r="2400" customFormat="1" ht="14.4" customHeight="1" x14ac:dyDescent="0.3"/>
    <row r="2401" customFormat="1" ht="14.4" customHeight="1" x14ac:dyDescent="0.3"/>
    <row r="2402" customFormat="1" ht="14.4" customHeight="1" x14ac:dyDescent="0.3"/>
    <row r="2403" customFormat="1" ht="14.4" customHeight="1" x14ac:dyDescent="0.3"/>
    <row r="2404" customFormat="1" ht="14.4" customHeight="1" x14ac:dyDescent="0.3"/>
    <row r="2405" customFormat="1" ht="14.4" customHeight="1" x14ac:dyDescent="0.3"/>
    <row r="2406" customFormat="1" ht="14.4" customHeight="1" x14ac:dyDescent="0.3"/>
    <row r="2407" customFormat="1" ht="14.4" customHeight="1" x14ac:dyDescent="0.3"/>
    <row r="2408" customFormat="1" ht="14.4" customHeight="1" x14ac:dyDescent="0.3"/>
    <row r="2409" customFormat="1" ht="14.4" customHeight="1" x14ac:dyDescent="0.3"/>
    <row r="2410" customFormat="1" ht="14.4" customHeight="1" x14ac:dyDescent="0.3"/>
    <row r="2411" customFormat="1" ht="14.4" customHeight="1" x14ac:dyDescent="0.3"/>
    <row r="2412" customFormat="1" ht="14.4" customHeight="1" x14ac:dyDescent="0.3"/>
    <row r="2413" customFormat="1" ht="14.4" customHeight="1" x14ac:dyDescent="0.3"/>
    <row r="2414" customFormat="1" ht="14.4" customHeight="1" x14ac:dyDescent="0.3"/>
    <row r="2415" customFormat="1" ht="14.4" customHeight="1" x14ac:dyDescent="0.3"/>
    <row r="2416" customFormat="1" ht="14.4" customHeight="1" x14ac:dyDescent="0.3"/>
    <row r="2417" customFormat="1" ht="14.4" customHeight="1" x14ac:dyDescent="0.3"/>
    <row r="2418" customFormat="1" ht="14.4" customHeight="1" x14ac:dyDescent="0.3"/>
    <row r="2419" customFormat="1" ht="14.4" customHeight="1" x14ac:dyDescent="0.3"/>
    <row r="2420" customFormat="1" ht="14.4" customHeight="1" x14ac:dyDescent="0.3"/>
    <row r="2421" customFormat="1" ht="14.4" customHeight="1" x14ac:dyDescent="0.3"/>
    <row r="2422" customFormat="1" ht="14.4" customHeight="1" x14ac:dyDescent="0.3"/>
    <row r="2423" customFormat="1" ht="14.4" customHeight="1" x14ac:dyDescent="0.3"/>
    <row r="2424" customFormat="1" ht="14.4" customHeight="1" x14ac:dyDescent="0.3"/>
    <row r="2425" customFormat="1" ht="14.4" customHeight="1" x14ac:dyDescent="0.3"/>
    <row r="2426" customFormat="1" ht="14.4" customHeight="1" x14ac:dyDescent="0.3"/>
    <row r="2427" customFormat="1" ht="14.4" customHeight="1" x14ac:dyDescent="0.3"/>
    <row r="2428" customFormat="1" ht="14.4" customHeight="1" x14ac:dyDescent="0.3"/>
    <row r="2429" customFormat="1" ht="14.4" customHeight="1" x14ac:dyDescent="0.3"/>
    <row r="2430" customFormat="1" ht="14.4" customHeight="1" x14ac:dyDescent="0.3"/>
    <row r="2431" customFormat="1" ht="14.4" customHeight="1" x14ac:dyDescent="0.3"/>
    <row r="2432" customFormat="1" ht="14.4" customHeight="1" x14ac:dyDescent="0.3"/>
    <row r="2433" customFormat="1" ht="14.4" customHeight="1" x14ac:dyDescent="0.3"/>
    <row r="2434" customFormat="1" ht="14.4" customHeight="1" x14ac:dyDescent="0.3"/>
    <row r="2435" customFormat="1" ht="14.4" customHeight="1" x14ac:dyDescent="0.3"/>
    <row r="2436" customFormat="1" ht="14.4" customHeight="1" x14ac:dyDescent="0.3"/>
    <row r="2437" customFormat="1" ht="14.4" customHeight="1" x14ac:dyDescent="0.3"/>
    <row r="2438" customFormat="1" ht="14.4" customHeight="1" x14ac:dyDescent="0.3"/>
    <row r="2439" customFormat="1" ht="14.4" customHeight="1" x14ac:dyDescent="0.3"/>
    <row r="2440" customFormat="1" ht="14.4" customHeight="1" x14ac:dyDescent="0.3"/>
    <row r="2441" customFormat="1" ht="14.4" customHeight="1" x14ac:dyDescent="0.3"/>
    <row r="2442" customFormat="1" ht="14.4" customHeight="1" x14ac:dyDescent="0.3"/>
    <row r="2443" customFormat="1" ht="14.4" customHeight="1" x14ac:dyDescent="0.3"/>
    <row r="2444" customFormat="1" ht="14.4" customHeight="1" x14ac:dyDescent="0.3"/>
    <row r="2445" customFormat="1" ht="14.4" customHeight="1" x14ac:dyDescent="0.3"/>
    <row r="2446" customFormat="1" ht="14.4" customHeight="1" x14ac:dyDescent="0.3"/>
    <row r="2447" customFormat="1" ht="14.4" customHeight="1" x14ac:dyDescent="0.3"/>
    <row r="2448" customFormat="1" ht="14.4" customHeight="1" x14ac:dyDescent="0.3"/>
    <row r="2449" customFormat="1" ht="14.4" customHeight="1" x14ac:dyDescent="0.3"/>
    <row r="2450" customFormat="1" ht="14.4" customHeight="1" x14ac:dyDescent="0.3"/>
    <row r="2451" customFormat="1" ht="14.4" customHeight="1" x14ac:dyDescent="0.3"/>
    <row r="2452" customFormat="1" ht="14.4" customHeight="1" x14ac:dyDescent="0.3"/>
    <row r="2453" customFormat="1" ht="14.4" customHeight="1" x14ac:dyDescent="0.3"/>
    <row r="2454" customFormat="1" ht="14.4" customHeight="1" x14ac:dyDescent="0.3"/>
    <row r="2455" customFormat="1" ht="14.4" customHeight="1" x14ac:dyDescent="0.3"/>
    <row r="2456" customFormat="1" ht="14.4" customHeight="1" x14ac:dyDescent="0.3"/>
    <row r="2457" customFormat="1" ht="14.4" customHeight="1" x14ac:dyDescent="0.3"/>
    <row r="2458" customFormat="1" ht="14.4" customHeight="1" x14ac:dyDescent="0.3"/>
    <row r="2459" customFormat="1" ht="14.4" customHeight="1" x14ac:dyDescent="0.3"/>
    <row r="2460" customFormat="1" ht="14.4" customHeight="1" x14ac:dyDescent="0.3"/>
    <row r="2461" customFormat="1" ht="14.4" customHeight="1" x14ac:dyDescent="0.3"/>
    <row r="2462" customFormat="1" ht="14.4" customHeight="1" x14ac:dyDescent="0.3"/>
    <row r="2463" customFormat="1" ht="14.4" customHeight="1" x14ac:dyDescent="0.3"/>
    <row r="2464" customFormat="1" ht="14.4" customHeight="1" x14ac:dyDescent="0.3"/>
    <row r="2465" customFormat="1" ht="14.4" customHeight="1" x14ac:dyDescent="0.3"/>
    <row r="2466" customFormat="1" ht="14.4" customHeight="1" x14ac:dyDescent="0.3"/>
    <row r="2467" customFormat="1" ht="14.4" customHeight="1" x14ac:dyDescent="0.3"/>
    <row r="2468" customFormat="1" ht="14.4" customHeight="1" x14ac:dyDescent="0.3"/>
    <row r="2469" customFormat="1" ht="14.4" customHeight="1" x14ac:dyDescent="0.3"/>
    <row r="2470" customFormat="1" ht="14.4" customHeight="1" x14ac:dyDescent="0.3"/>
    <row r="2471" customFormat="1" ht="14.4" customHeight="1" x14ac:dyDescent="0.3"/>
    <row r="2472" customFormat="1" ht="14.4" customHeight="1" x14ac:dyDescent="0.3"/>
    <row r="2473" customFormat="1" ht="14.4" customHeight="1" x14ac:dyDescent="0.3"/>
    <row r="2474" customFormat="1" ht="14.4" customHeight="1" x14ac:dyDescent="0.3"/>
    <row r="2475" customFormat="1" ht="14.4" customHeight="1" x14ac:dyDescent="0.3"/>
    <row r="2476" customFormat="1" ht="14.4" customHeight="1" x14ac:dyDescent="0.3"/>
    <row r="2477" customFormat="1" ht="14.4" customHeight="1" x14ac:dyDescent="0.3"/>
    <row r="2478" customFormat="1" ht="14.4" customHeight="1" x14ac:dyDescent="0.3"/>
    <row r="2479" customFormat="1" ht="14.4" customHeight="1" x14ac:dyDescent="0.3"/>
    <row r="2480" customFormat="1" ht="14.4" customHeight="1" x14ac:dyDescent="0.3"/>
    <row r="2481" customFormat="1" ht="14.4" customHeight="1" x14ac:dyDescent="0.3"/>
    <row r="2482" customFormat="1" ht="14.4" customHeight="1" x14ac:dyDescent="0.3"/>
    <row r="2483" customFormat="1" ht="14.4" customHeight="1" x14ac:dyDescent="0.3"/>
    <row r="2484" customFormat="1" ht="14.4" customHeight="1" x14ac:dyDescent="0.3"/>
    <row r="2485" customFormat="1" ht="14.4" customHeight="1" x14ac:dyDescent="0.3"/>
    <row r="2486" customFormat="1" ht="14.4" customHeight="1" x14ac:dyDescent="0.3"/>
    <row r="2487" customFormat="1" ht="14.4" customHeight="1" x14ac:dyDescent="0.3"/>
    <row r="2488" customFormat="1" ht="14.4" customHeight="1" x14ac:dyDescent="0.3"/>
    <row r="2489" customFormat="1" ht="14.4" customHeight="1" x14ac:dyDescent="0.3"/>
    <row r="2490" customFormat="1" ht="14.4" customHeight="1" x14ac:dyDescent="0.3"/>
    <row r="2491" customFormat="1" ht="14.4" customHeight="1" x14ac:dyDescent="0.3"/>
    <row r="2492" customFormat="1" ht="14.4" customHeight="1" x14ac:dyDescent="0.3"/>
    <row r="2493" customFormat="1" ht="14.4" customHeight="1" x14ac:dyDescent="0.3"/>
    <row r="2494" customFormat="1" ht="14.4" customHeight="1" x14ac:dyDescent="0.3"/>
    <row r="2495" customFormat="1" ht="14.4" customHeight="1" x14ac:dyDescent="0.3"/>
    <row r="2496" customFormat="1" ht="14.4" customHeight="1" x14ac:dyDescent="0.3"/>
    <row r="2497" customFormat="1" ht="14.4" customHeight="1" x14ac:dyDescent="0.3"/>
    <row r="2498" customFormat="1" ht="14.4" customHeight="1" x14ac:dyDescent="0.3"/>
    <row r="2499" customFormat="1" ht="14.4" customHeight="1" x14ac:dyDescent="0.3"/>
    <row r="2500" customFormat="1" ht="14.4" customHeight="1" x14ac:dyDescent="0.3"/>
    <row r="2501" customFormat="1" ht="14.4" customHeight="1" x14ac:dyDescent="0.3"/>
    <row r="2502" customFormat="1" ht="14.4" customHeight="1" x14ac:dyDescent="0.3"/>
    <row r="2503" customFormat="1" ht="14.4" customHeight="1" x14ac:dyDescent="0.3"/>
    <row r="2504" customFormat="1" ht="14.4" customHeight="1" x14ac:dyDescent="0.3"/>
    <row r="2505" customFormat="1" ht="14.4" customHeight="1" x14ac:dyDescent="0.3"/>
    <row r="2506" customFormat="1" ht="14.4" customHeight="1" x14ac:dyDescent="0.3"/>
    <row r="2507" customFormat="1" ht="14.4" customHeight="1" x14ac:dyDescent="0.3"/>
    <row r="2508" customFormat="1" ht="14.4" customHeight="1" x14ac:dyDescent="0.3"/>
    <row r="2509" customFormat="1" ht="14.4" customHeight="1" x14ac:dyDescent="0.3"/>
    <row r="2510" customFormat="1" ht="14.4" customHeight="1" x14ac:dyDescent="0.3"/>
    <row r="2511" customFormat="1" ht="14.4" customHeight="1" x14ac:dyDescent="0.3"/>
    <row r="2512" customFormat="1" ht="14.4" customHeight="1" x14ac:dyDescent="0.3"/>
    <row r="2513" customFormat="1" ht="14.4" customHeight="1" x14ac:dyDescent="0.3"/>
    <row r="2514" customFormat="1" ht="14.4" customHeight="1" x14ac:dyDescent="0.3"/>
    <row r="2515" customFormat="1" ht="14.4" customHeight="1" x14ac:dyDescent="0.3"/>
    <row r="2516" customFormat="1" ht="14.4" customHeight="1" x14ac:dyDescent="0.3"/>
    <row r="2517" customFormat="1" ht="14.4" customHeight="1" x14ac:dyDescent="0.3"/>
    <row r="2518" customFormat="1" ht="14.4" customHeight="1" x14ac:dyDescent="0.3"/>
    <row r="2519" customFormat="1" ht="14.4" customHeight="1" x14ac:dyDescent="0.3"/>
    <row r="2520" customFormat="1" ht="14.4" customHeight="1" x14ac:dyDescent="0.3"/>
    <row r="2521" customFormat="1" ht="14.4" customHeight="1" x14ac:dyDescent="0.3"/>
    <row r="2522" customFormat="1" ht="14.4" customHeight="1" x14ac:dyDescent="0.3"/>
    <row r="2523" customFormat="1" ht="14.4" customHeight="1" x14ac:dyDescent="0.3"/>
    <row r="2524" customFormat="1" ht="14.4" customHeight="1" x14ac:dyDescent="0.3"/>
    <row r="2525" customFormat="1" ht="14.4" customHeight="1" x14ac:dyDescent="0.3"/>
    <row r="2526" customFormat="1" ht="14.4" customHeight="1" x14ac:dyDescent="0.3"/>
    <row r="2527" customFormat="1" ht="14.4" customHeight="1" x14ac:dyDescent="0.3"/>
    <row r="2528" customFormat="1" ht="14.4" customHeight="1" x14ac:dyDescent="0.3"/>
    <row r="2529" customFormat="1" ht="14.4" customHeight="1" x14ac:dyDescent="0.3"/>
    <row r="2530" customFormat="1" ht="14.4" customHeight="1" x14ac:dyDescent="0.3"/>
    <row r="2531" customFormat="1" ht="14.4" customHeight="1" x14ac:dyDescent="0.3"/>
    <row r="2532" customFormat="1" ht="14.4" customHeight="1" x14ac:dyDescent="0.3"/>
    <row r="2533" customFormat="1" ht="14.4" customHeight="1" x14ac:dyDescent="0.3"/>
    <row r="2534" customFormat="1" ht="14.4" customHeight="1" x14ac:dyDescent="0.3"/>
    <row r="2535" customFormat="1" ht="14.4" customHeight="1" x14ac:dyDescent="0.3"/>
    <row r="2536" customFormat="1" ht="14.4" customHeight="1" x14ac:dyDescent="0.3"/>
    <row r="2537" customFormat="1" ht="14.4" customHeight="1" x14ac:dyDescent="0.3"/>
    <row r="2538" customFormat="1" ht="14.4" customHeight="1" x14ac:dyDescent="0.3"/>
    <row r="2539" customFormat="1" ht="14.4" customHeight="1" x14ac:dyDescent="0.3"/>
    <row r="2540" customFormat="1" ht="14.4" customHeight="1" x14ac:dyDescent="0.3"/>
    <row r="2541" customFormat="1" ht="14.4" customHeight="1" x14ac:dyDescent="0.3"/>
    <row r="2542" customFormat="1" ht="14.4" customHeight="1" x14ac:dyDescent="0.3"/>
    <row r="2543" customFormat="1" ht="14.4" customHeight="1" x14ac:dyDescent="0.3"/>
    <row r="2544" customFormat="1" ht="14.4" customHeight="1" x14ac:dyDescent="0.3"/>
    <row r="2545" customFormat="1" ht="14.4" customHeight="1" x14ac:dyDescent="0.3"/>
    <row r="2546" customFormat="1" ht="14.4" customHeight="1" x14ac:dyDescent="0.3"/>
    <row r="2547" customFormat="1" ht="14.4" customHeight="1" x14ac:dyDescent="0.3"/>
    <row r="2548" customFormat="1" ht="14.4" customHeight="1" x14ac:dyDescent="0.3"/>
    <row r="2549" customFormat="1" ht="14.4" customHeight="1" x14ac:dyDescent="0.3"/>
    <row r="2550" customFormat="1" ht="14.4" customHeight="1" x14ac:dyDescent="0.3"/>
    <row r="2551" customFormat="1" ht="14.4" customHeight="1" x14ac:dyDescent="0.3"/>
    <row r="2552" customFormat="1" ht="14.4" customHeight="1" x14ac:dyDescent="0.3"/>
    <row r="2553" customFormat="1" ht="14.4" customHeight="1" x14ac:dyDescent="0.3"/>
    <row r="2554" customFormat="1" ht="14.4" customHeight="1" x14ac:dyDescent="0.3"/>
    <row r="2555" customFormat="1" ht="14.4" customHeight="1" x14ac:dyDescent="0.3"/>
    <row r="2556" customFormat="1" ht="14.4" customHeight="1" x14ac:dyDescent="0.3"/>
    <row r="2557" customFormat="1" ht="14.4" customHeight="1" x14ac:dyDescent="0.3"/>
    <row r="2558" customFormat="1" ht="14.4" customHeight="1" x14ac:dyDescent="0.3"/>
    <row r="2559" customFormat="1" ht="14.4" customHeight="1" x14ac:dyDescent="0.3"/>
    <row r="2560" customFormat="1" ht="14.4" customHeight="1" x14ac:dyDescent="0.3"/>
    <row r="2561" customFormat="1" ht="14.4" customHeight="1" x14ac:dyDescent="0.3"/>
    <row r="2562" customFormat="1" ht="14.4" customHeight="1" x14ac:dyDescent="0.3"/>
    <row r="2563" customFormat="1" ht="14.4" customHeight="1" x14ac:dyDescent="0.3"/>
    <row r="2564" customFormat="1" ht="14.4" customHeight="1" x14ac:dyDescent="0.3"/>
    <row r="2565" customFormat="1" ht="14.4" customHeight="1" x14ac:dyDescent="0.3"/>
    <row r="2566" customFormat="1" ht="14.4" customHeight="1" x14ac:dyDescent="0.3"/>
    <row r="2567" customFormat="1" ht="14.4" customHeight="1" x14ac:dyDescent="0.3"/>
    <row r="2568" customFormat="1" ht="14.4" customHeight="1" x14ac:dyDescent="0.3"/>
    <row r="2569" customFormat="1" ht="14.4" customHeight="1" x14ac:dyDescent="0.3"/>
    <row r="2570" customFormat="1" ht="14.4" customHeight="1" x14ac:dyDescent="0.3"/>
    <row r="2571" customFormat="1" ht="14.4" customHeight="1" x14ac:dyDescent="0.3"/>
    <row r="2572" customFormat="1" ht="14.4" customHeight="1" x14ac:dyDescent="0.3"/>
    <row r="2573" customFormat="1" ht="14.4" customHeight="1" x14ac:dyDescent="0.3"/>
    <row r="2574" customFormat="1" ht="14.4" customHeight="1" x14ac:dyDescent="0.3"/>
    <row r="2575" customFormat="1" ht="14.4" customHeight="1" x14ac:dyDescent="0.3"/>
    <row r="2576" customFormat="1" ht="14.4" customHeight="1" x14ac:dyDescent="0.3"/>
    <row r="2577" customFormat="1" ht="14.4" customHeight="1" x14ac:dyDescent="0.3"/>
    <row r="2578" customFormat="1" ht="14.4" customHeight="1" x14ac:dyDescent="0.3"/>
    <row r="2579" customFormat="1" ht="14.4" customHeight="1" x14ac:dyDescent="0.3"/>
    <row r="2580" customFormat="1" ht="14.4" customHeight="1" x14ac:dyDescent="0.3"/>
    <row r="2581" customFormat="1" ht="14.4" customHeight="1" x14ac:dyDescent="0.3"/>
    <row r="2582" customFormat="1" ht="14.4" customHeight="1" x14ac:dyDescent="0.3"/>
    <row r="2583" customFormat="1" ht="14.4" customHeight="1" x14ac:dyDescent="0.3"/>
    <row r="2584" customFormat="1" ht="14.4" customHeight="1" x14ac:dyDescent="0.3"/>
    <row r="2585" customFormat="1" ht="14.4" customHeight="1" x14ac:dyDescent="0.3"/>
    <row r="2586" customFormat="1" ht="14.4" customHeight="1" x14ac:dyDescent="0.3"/>
    <row r="2587" customFormat="1" ht="14.4" customHeight="1" x14ac:dyDescent="0.3"/>
    <row r="2588" customFormat="1" ht="14.4" customHeight="1" x14ac:dyDescent="0.3"/>
    <row r="2589" customFormat="1" ht="14.4" customHeight="1" x14ac:dyDescent="0.3"/>
    <row r="2590" customFormat="1" ht="14.4" customHeight="1" x14ac:dyDescent="0.3"/>
    <row r="2591" customFormat="1" ht="14.4" customHeight="1" x14ac:dyDescent="0.3"/>
    <row r="2592" customFormat="1" ht="14.4" customHeight="1" x14ac:dyDescent="0.3"/>
    <row r="2593" customFormat="1" ht="14.4" customHeight="1" x14ac:dyDescent="0.3"/>
    <row r="2594" customFormat="1" ht="14.4" customHeight="1" x14ac:dyDescent="0.3"/>
    <row r="2595" customFormat="1" ht="14.4" customHeight="1" x14ac:dyDescent="0.3"/>
    <row r="2596" customFormat="1" ht="14.4" customHeight="1" x14ac:dyDescent="0.3"/>
    <row r="2597" customFormat="1" ht="14.4" customHeight="1" x14ac:dyDescent="0.3"/>
    <row r="2598" customFormat="1" ht="14.4" customHeight="1" x14ac:dyDescent="0.3"/>
    <row r="2599" customFormat="1" ht="14.4" customHeight="1" x14ac:dyDescent="0.3"/>
    <row r="2600" customFormat="1" ht="14.4" customHeight="1" x14ac:dyDescent="0.3"/>
    <row r="2601" customFormat="1" ht="14.4" customHeight="1" x14ac:dyDescent="0.3"/>
    <row r="2602" customFormat="1" ht="14.4" customHeight="1" x14ac:dyDescent="0.3"/>
    <row r="2603" customFormat="1" ht="14.4" customHeight="1" x14ac:dyDescent="0.3"/>
    <row r="2604" customFormat="1" ht="14.4" customHeight="1" x14ac:dyDescent="0.3"/>
    <row r="2605" customFormat="1" ht="14.4" customHeight="1" x14ac:dyDescent="0.3"/>
    <row r="2606" customFormat="1" ht="14.4" customHeight="1" x14ac:dyDescent="0.3"/>
    <row r="2607" customFormat="1" ht="14.4" customHeight="1" x14ac:dyDescent="0.3"/>
    <row r="2608" customFormat="1" ht="14.4" customHeight="1" x14ac:dyDescent="0.3"/>
    <row r="2609" customFormat="1" ht="14.4" customHeight="1" x14ac:dyDescent="0.3"/>
    <row r="2610" customFormat="1" ht="14.4" customHeight="1" x14ac:dyDescent="0.3"/>
    <row r="2611" customFormat="1" ht="14.4" customHeight="1" x14ac:dyDescent="0.3"/>
    <row r="2612" customFormat="1" ht="14.4" customHeight="1" x14ac:dyDescent="0.3"/>
    <row r="2613" customFormat="1" ht="14.4" customHeight="1" x14ac:dyDescent="0.3"/>
    <row r="2614" customFormat="1" ht="14.4" customHeight="1" x14ac:dyDescent="0.3"/>
    <row r="2615" customFormat="1" ht="14.4" customHeight="1" x14ac:dyDescent="0.3"/>
    <row r="2616" customFormat="1" ht="14.4" customHeight="1" x14ac:dyDescent="0.3"/>
    <row r="2617" customFormat="1" ht="14.4" customHeight="1" x14ac:dyDescent="0.3"/>
    <row r="2618" customFormat="1" ht="14.4" customHeight="1" x14ac:dyDescent="0.3"/>
    <row r="2619" customFormat="1" ht="14.4" customHeight="1" x14ac:dyDescent="0.3"/>
    <row r="2620" customFormat="1" ht="14.4" customHeight="1" x14ac:dyDescent="0.3"/>
    <row r="2621" customFormat="1" ht="14.4" customHeight="1" x14ac:dyDescent="0.3"/>
    <row r="2622" customFormat="1" ht="14.4" customHeight="1" x14ac:dyDescent="0.3"/>
    <row r="2623" customFormat="1" ht="14.4" customHeight="1" x14ac:dyDescent="0.3"/>
    <row r="2624" customFormat="1" ht="14.4" customHeight="1" x14ac:dyDescent="0.3"/>
    <row r="2625" customFormat="1" ht="14.4" customHeight="1" x14ac:dyDescent="0.3"/>
    <row r="2626" customFormat="1" ht="14.4" customHeight="1" x14ac:dyDescent="0.3"/>
    <row r="2627" customFormat="1" ht="14.4" customHeight="1" x14ac:dyDescent="0.3"/>
    <row r="2628" customFormat="1" ht="14.4" customHeight="1" x14ac:dyDescent="0.3"/>
    <row r="2629" customFormat="1" ht="14.4" customHeight="1" x14ac:dyDescent="0.3"/>
    <row r="2630" customFormat="1" ht="14.4" customHeight="1" x14ac:dyDescent="0.3"/>
    <row r="2631" customFormat="1" ht="14.4" customHeight="1" x14ac:dyDescent="0.3"/>
    <row r="2632" customFormat="1" ht="14.4" customHeight="1" x14ac:dyDescent="0.3"/>
    <row r="2633" customFormat="1" ht="14.4" customHeight="1" x14ac:dyDescent="0.3"/>
    <row r="2634" customFormat="1" ht="14.4" customHeight="1" x14ac:dyDescent="0.3"/>
    <row r="2635" customFormat="1" ht="14.4" customHeight="1" x14ac:dyDescent="0.3"/>
    <row r="2636" customFormat="1" ht="14.4" customHeight="1" x14ac:dyDescent="0.3"/>
    <row r="2637" customFormat="1" ht="14.4" customHeight="1" x14ac:dyDescent="0.3"/>
    <row r="2638" customFormat="1" ht="14.4" customHeight="1" x14ac:dyDescent="0.3"/>
    <row r="2639" customFormat="1" ht="14.4" customHeight="1" x14ac:dyDescent="0.3"/>
    <row r="2640" customFormat="1" ht="14.4" customHeight="1" x14ac:dyDescent="0.3"/>
    <row r="2641" customFormat="1" ht="14.4" customHeight="1" x14ac:dyDescent="0.3"/>
    <row r="2642" customFormat="1" ht="14.4" customHeight="1" x14ac:dyDescent="0.3"/>
    <row r="2643" customFormat="1" ht="14.4" customHeight="1" x14ac:dyDescent="0.3"/>
    <row r="2644" customFormat="1" ht="14.4" customHeight="1" x14ac:dyDescent="0.3"/>
    <row r="2645" customFormat="1" ht="14.4" customHeight="1" x14ac:dyDescent="0.3"/>
    <row r="2646" customFormat="1" ht="14.4" customHeight="1" x14ac:dyDescent="0.3"/>
    <row r="2647" customFormat="1" ht="14.4" customHeight="1" x14ac:dyDescent="0.3"/>
    <row r="2648" customFormat="1" ht="14.4" customHeight="1" x14ac:dyDescent="0.3"/>
    <row r="2649" customFormat="1" ht="14.4" customHeight="1" x14ac:dyDescent="0.3"/>
    <row r="2650" customFormat="1" ht="14.4" customHeight="1" x14ac:dyDescent="0.3"/>
    <row r="2651" customFormat="1" ht="14.4" customHeight="1" x14ac:dyDescent="0.3"/>
    <row r="2652" customFormat="1" ht="14.4" customHeight="1" x14ac:dyDescent="0.3"/>
    <row r="2653" customFormat="1" ht="14.4" customHeight="1" x14ac:dyDescent="0.3"/>
    <row r="2654" customFormat="1" ht="14.4" customHeight="1" x14ac:dyDescent="0.3"/>
    <row r="2655" customFormat="1" ht="14.4" customHeight="1" x14ac:dyDescent="0.3"/>
    <row r="2656" customFormat="1" ht="14.4" customHeight="1" x14ac:dyDescent="0.3"/>
    <row r="2657" customFormat="1" ht="14.4" customHeight="1" x14ac:dyDescent="0.3"/>
    <row r="2658" customFormat="1" ht="14.4" customHeight="1" x14ac:dyDescent="0.3"/>
    <row r="2659" customFormat="1" ht="14.4" customHeight="1" x14ac:dyDescent="0.3"/>
    <row r="2660" customFormat="1" ht="14.4" customHeight="1" x14ac:dyDescent="0.3"/>
    <row r="2661" customFormat="1" ht="14.4" customHeight="1" x14ac:dyDescent="0.3"/>
    <row r="2662" customFormat="1" ht="14.4" customHeight="1" x14ac:dyDescent="0.3"/>
    <row r="2663" customFormat="1" ht="14.4" customHeight="1" x14ac:dyDescent="0.3"/>
    <row r="2664" customFormat="1" ht="14.4" customHeight="1" x14ac:dyDescent="0.3"/>
    <row r="2665" customFormat="1" ht="14.4" customHeight="1" x14ac:dyDescent="0.3"/>
    <row r="2666" customFormat="1" ht="14.4" customHeight="1" x14ac:dyDescent="0.3"/>
    <row r="2667" customFormat="1" ht="14.4" customHeight="1" x14ac:dyDescent="0.3"/>
    <row r="2668" customFormat="1" ht="14.4" customHeight="1" x14ac:dyDescent="0.3"/>
    <row r="2669" customFormat="1" ht="14.4" customHeight="1" x14ac:dyDescent="0.3"/>
    <row r="2670" customFormat="1" ht="14.4" customHeight="1" x14ac:dyDescent="0.3"/>
    <row r="2671" customFormat="1" ht="14.4" customHeight="1" x14ac:dyDescent="0.3"/>
    <row r="2672" customFormat="1" ht="14.4" customHeight="1" x14ac:dyDescent="0.3"/>
    <row r="2673" customFormat="1" ht="14.4" customHeight="1" x14ac:dyDescent="0.3"/>
    <row r="2674" customFormat="1" ht="14.4" customHeight="1" x14ac:dyDescent="0.3"/>
    <row r="2675" customFormat="1" ht="14.4" customHeight="1" x14ac:dyDescent="0.3"/>
    <row r="2676" customFormat="1" ht="14.4" customHeight="1" x14ac:dyDescent="0.3"/>
    <row r="2677" customFormat="1" ht="14.4" customHeight="1" x14ac:dyDescent="0.3"/>
    <row r="2678" customFormat="1" ht="14.4" customHeight="1" x14ac:dyDescent="0.3"/>
    <row r="2679" customFormat="1" ht="14.4" customHeight="1" x14ac:dyDescent="0.3"/>
    <row r="2680" customFormat="1" ht="14.4" customHeight="1" x14ac:dyDescent="0.3"/>
    <row r="2681" customFormat="1" ht="14.4" customHeight="1" x14ac:dyDescent="0.3"/>
    <row r="2682" customFormat="1" ht="14.4" customHeight="1" x14ac:dyDescent="0.3"/>
    <row r="2683" customFormat="1" ht="14.4" customHeight="1" x14ac:dyDescent="0.3"/>
    <row r="2684" customFormat="1" ht="14.4" customHeight="1" x14ac:dyDescent="0.3"/>
    <row r="2685" customFormat="1" ht="14.4" customHeight="1" x14ac:dyDescent="0.3"/>
    <row r="2686" customFormat="1" ht="14.4" customHeight="1" x14ac:dyDescent="0.3"/>
    <row r="2687" customFormat="1" ht="14.4" customHeight="1" x14ac:dyDescent="0.3"/>
    <row r="2688" customFormat="1" ht="14.4" customHeight="1" x14ac:dyDescent="0.3"/>
    <row r="2689" customFormat="1" ht="14.4" customHeight="1" x14ac:dyDescent="0.3"/>
    <row r="2690" customFormat="1" ht="14.4" customHeight="1" x14ac:dyDescent="0.3"/>
    <row r="2691" customFormat="1" ht="14.4" customHeight="1" x14ac:dyDescent="0.3"/>
    <row r="2692" customFormat="1" ht="14.4" customHeight="1" x14ac:dyDescent="0.3"/>
    <row r="2693" customFormat="1" ht="14.4" customHeight="1" x14ac:dyDescent="0.3"/>
    <row r="2694" customFormat="1" ht="14.4" customHeight="1" x14ac:dyDescent="0.3"/>
    <row r="2695" customFormat="1" ht="14.4" customHeight="1" x14ac:dyDescent="0.3"/>
    <row r="2696" customFormat="1" ht="14.4" customHeight="1" x14ac:dyDescent="0.3"/>
    <row r="2697" customFormat="1" ht="14.4" customHeight="1" x14ac:dyDescent="0.3"/>
    <row r="2698" customFormat="1" ht="14.4" customHeight="1" x14ac:dyDescent="0.3"/>
    <row r="2699" customFormat="1" ht="14.4" customHeight="1" x14ac:dyDescent="0.3"/>
    <row r="2700" customFormat="1" ht="14.4" customHeight="1" x14ac:dyDescent="0.3"/>
    <row r="2701" customFormat="1" ht="14.4" customHeight="1" x14ac:dyDescent="0.3"/>
    <row r="2702" customFormat="1" ht="14.4" customHeight="1" x14ac:dyDescent="0.3"/>
    <row r="2703" customFormat="1" ht="14.4" customHeight="1" x14ac:dyDescent="0.3"/>
    <row r="2704" customFormat="1" ht="14.4" customHeight="1" x14ac:dyDescent="0.3"/>
    <row r="2705" customFormat="1" ht="14.4" customHeight="1" x14ac:dyDescent="0.3"/>
    <row r="2706" customFormat="1" ht="14.4" customHeight="1" x14ac:dyDescent="0.3"/>
    <row r="2707" customFormat="1" ht="14.4" customHeight="1" x14ac:dyDescent="0.3"/>
    <row r="2708" customFormat="1" ht="14.4" customHeight="1" x14ac:dyDescent="0.3"/>
    <row r="2709" customFormat="1" ht="14.4" customHeight="1" x14ac:dyDescent="0.3"/>
    <row r="2710" customFormat="1" ht="14.4" customHeight="1" x14ac:dyDescent="0.3"/>
    <row r="2711" customFormat="1" ht="14.4" customHeight="1" x14ac:dyDescent="0.3"/>
    <row r="2712" customFormat="1" ht="14.4" customHeight="1" x14ac:dyDescent="0.3"/>
    <row r="2713" customFormat="1" ht="14.4" customHeight="1" x14ac:dyDescent="0.3"/>
    <row r="2714" customFormat="1" ht="14.4" customHeight="1" x14ac:dyDescent="0.3"/>
    <row r="2715" customFormat="1" ht="14.4" customHeight="1" x14ac:dyDescent="0.3"/>
    <row r="2716" customFormat="1" ht="14.4" customHeight="1" x14ac:dyDescent="0.3"/>
    <row r="2717" customFormat="1" ht="14.4" customHeight="1" x14ac:dyDescent="0.3"/>
    <row r="2718" customFormat="1" ht="14.4" customHeight="1" x14ac:dyDescent="0.3"/>
    <row r="2719" customFormat="1" ht="14.4" customHeight="1" x14ac:dyDescent="0.3"/>
    <row r="2720" customFormat="1" ht="14.4" customHeight="1" x14ac:dyDescent="0.3"/>
    <row r="2721" customFormat="1" ht="14.4" customHeight="1" x14ac:dyDescent="0.3"/>
    <row r="2722" customFormat="1" ht="14.4" customHeight="1" x14ac:dyDescent="0.3"/>
    <row r="2723" customFormat="1" ht="14.4" customHeight="1" x14ac:dyDescent="0.3"/>
    <row r="2724" customFormat="1" ht="14.4" customHeight="1" x14ac:dyDescent="0.3"/>
    <row r="2725" customFormat="1" ht="14.4" customHeight="1" x14ac:dyDescent="0.3"/>
    <row r="2726" customFormat="1" ht="14.4" customHeight="1" x14ac:dyDescent="0.3"/>
    <row r="2727" customFormat="1" ht="14.4" customHeight="1" x14ac:dyDescent="0.3"/>
    <row r="2728" customFormat="1" ht="14.4" customHeight="1" x14ac:dyDescent="0.3"/>
    <row r="2729" customFormat="1" ht="14.4" customHeight="1" x14ac:dyDescent="0.3"/>
    <row r="2730" customFormat="1" ht="14.4" customHeight="1" x14ac:dyDescent="0.3"/>
    <row r="2731" customFormat="1" ht="14.4" customHeight="1" x14ac:dyDescent="0.3"/>
    <row r="2732" customFormat="1" ht="14.4" customHeight="1" x14ac:dyDescent="0.3"/>
    <row r="2733" customFormat="1" ht="14.4" customHeight="1" x14ac:dyDescent="0.3"/>
    <row r="2734" customFormat="1" ht="14.4" customHeight="1" x14ac:dyDescent="0.3"/>
    <row r="2735" customFormat="1" ht="14.4" customHeight="1" x14ac:dyDescent="0.3"/>
    <row r="2736" customFormat="1" ht="14.4" customHeight="1" x14ac:dyDescent="0.3"/>
    <row r="2737" customFormat="1" ht="14.4" customHeight="1" x14ac:dyDescent="0.3"/>
    <row r="2738" customFormat="1" ht="14.4" customHeight="1" x14ac:dyDescent="0.3"/>
    <row r="2739" customFormat="1" ht="14.4" customHeight="1" x14ac:dyDescent="0.3"/>
    <row r="2740" customFormat="1" ht="14.4" customHeight="1" x14ac:dyDescent="0.3"/>
    <row r="2741" customFormat="1" ht="14.4" customHeight="1" x14ac:dyDescent="0.3"/>
    <row r="2742" customFormat="1" ht="14.4" customHeight="1" x14ac:dyDescent="0.3"/>
    <row r="2743" customFormat="1" ht="14.4" customHeight="1" x14ac:dyDescent="0.3"/>
    <row r="2744" customFormat="1" ht="14.4" customHeight="1" x14ac:dyDescent="0.3"/>
    <row r="2745" customFormat="1" ht="14.4" customHeight="1" x14ac:dyDescent="0.3"/>
    <row r="2746" customFormat="1" ht="14.4" customHeight="1" x14ac:dyDescent="0.3"/>
    <row r="2747" customFormat="1" ht="14.4" customHeight="1" x14ac:dyDescent="0.3"/>
    <row r="2748" customFormat="1" ht="14.4" customHeight="1" x14ac:dyDescent="0.3"/>
    <row r="2749" customFormat="1" ht="14.4" customHeight="1" x14ac:dyDescent="0.3"/>
    <row r="2750" customFormat="1" ht="14.4" customHeight="1" x14ac:dyDescent="0.3"/>
    <row r="2751" customFormat="1" ht="14.4" customHeight="1" x14ac:dyDescent="0.3"/>
    <row r="2752" customFormat="1" ht="14.4" customHeight="1" x14ac:dyDescent="0.3"/>
    <row r="2753" customFormat="1" ht="14.4" customHeight="1" x14ac:dyDescent="0.3"/>
    <row r="2754" customFormat="1" ht="14.4" customHeight="1" x14ac:dyDescent="0.3"/>
    <row r="2755" customFormat="1" ht="14.4" customHeight="1" x14ac:dyDescent="0.3"/>
    <row r="2756" customFormat="1" ht="14.4" customHeight="1" x14ac:dyDescent="0.3"/>
    <row r="2757" customFormat="1" ht="14.4" customHeight="1" x14ac:dyDescent="0.3"/>
    <row r="2758" customFormat="1" ht="14.4" customHeight="1" x14ac:dyDescent="0.3"/>
    <row r="2759" customFormat="1" ht="14.4" customHeight="1" x14ac:dyDescent="0.3"/>
    <row r="2760" customFormat="1" ht="14.4" customHeight="1" x14ac:dyDescent="0.3"/>
    <row r="2761" customFormat="1" ht="14.4" customHeight="1" x14ac:dyDescent="0.3"/>
    <row r="2762" customFormat="1" ht="14.4" customHeight="1" x14ac:dyDescent="0.3"/>
    <row r="2763" customFormat="1" ht="14.4" customHeight="1" x14ac:dyDescent="0.3"/>
    <row r="2764" customFormat="1" ht="14.4" customHeight="1" x14ac:dyDescent="0.3"/>
    <row r="2765" customFormat="1" ht="14.4" customHeight="1" x14ac:dyDescent="0.3"/>
    <row r="2766" customFormat="1" ht="14.4" customHeight="1" x14ac:dyDescent="0.3"/>
    <row r="2767" customFormat="1" ht="14.4" customHeight="1" x14ac:dyDescent="0.3"/>
    <row r="2768" customFormat="1" ht="14.4" customHeight="1" x14ac:dyDescent="0.3"/>
    <row r="2769" customFormat="1" ht="14.4" customHeight="1" x14ac:dyDescent="0.3"/>
    <row r="2770" customFormat="1" ht="14.4" customHeight="1" x14ac:dyDescent="0.3"/>
    <row r="2771" customFormat="1" ht="14.4" customHeight="1" x14ac:dyDescent="0.3"/>
    <row r="2772" customFormat="1" ht="14.4" customHeight="1" x14ac:dyDescent="0.3"/>
    <row r="2773" customFormat="1" ht="14.4" customHeight="1" x14ac:dyDescent="0.3"/>
    <row r="2774" customFormat="1" ht="14.4" customHeight="1" x14ac:dyDescent="0.3"/>
    <row r="2775" customFormat="1" ht="14.4" customHeight="1" x14ac:dyDescent="0.3"/>
    <row r="2776" customFormat="1" ht="14.4" customHeight="1" x14ac:dyDescent="0.3"/>
    <row r="2777" customFormat="1" ht="14.4" customHeight="1" x14ac:dyDescent="0.3"/>
    <row r="2778" customFormat="1" ht="14.4" customHeight="1" x14ac:dyDescent="0.3"/>
    <row r="2779" customFormat="1" ht="14.4" customHeight="1" x14ac:dyDescent="0.3"/>
    <row r="2780" customFormat="1" ht="14.4" customHeight="1" x14ac:dyDescent="0.3"/>
    <row r="2781" customFormat="1" ht="14.4" customHeight="1" x14ac:dyDescent="0.3"/>
    <row r="2782" customFormat="1" ht="14.4" customHeight="1" x14ac:dyDescent="0.3"/>
    <row r="2783" customFormat="1" ht="14.4" customHeight="1" x14ac:dyDescent="0.3"/>
    <row r="2784" customFormat="1" ht="14.4" customHeight="1" x14ac:dyDescent="0.3"/>
    <row r="2785" customFormat="1" ht="14.4" customHeight="1" x14ac:dyDescent="0.3"/>
    <row r="2786" customFormat="1" ht="14.4" customHeight="1" x14ac:dyDescent="0.3"/>
    <row r="2787" customFormat="1" ht="14.4" customHeight="1" x14ac:dyDescent="0.3"/>
    <row r="2788" customFormat="1" ht="14.4" customHeight="1" x14ac:dyDescent="0.3"/>
    <row r="2789" customFormat="1" ht="14.4" customHeight="1" x14ac:dyDescent="0.3"/>
    <row r="2790" customFormat="1" ht="14.4" customHeight="1" x14ac:dyDescent="0.3"/>
    <row r="2791" customFormat="1" ht="14.4" customHeight="1" x14ac:dyDescent="0.3"/>
    <row r="2792" customFormat="1" ht="14.4" customHeight="1" x14ac:dyDescent="0.3"/>
    <row r="2793" customFormat="1" ht="14.4" customHeight="1" x14ac:dyDescent="0.3"/>
    <row r="2794" customFormat="1" ht="14.4" customHeight="1" x14ac:dyDescent="0.3"/>
    <row r="2795" customFormat="1" ht="14.4" customHeight="1" x14ac:dyDescent="0.3"/>
    <row r="2796" customFormat="1" ht="14.4" customHeight="1" x14ac:dyDescent="0.3"/>
    <row r="2797" customFormat="1" ht="14.4" customHeight="1" x14ac:dyDescent="0.3"/>
    <row r="2798" customFormat="1" ht="14.4" customHeight="1" x14ac:dyDescent="0.3"/>
    <row r="2799" customFormat="1" ht="14.4" customHeight="1" x14ac:dyDescent="0.3"/>
    <row r="2800" customFormat="1" ht="14.4" customHeight="1" x14ac:dyDescent="0.3"/>
    <row r="2801" customFormat="1" ht="14.4" customHeight="1" x14ac:dyDescent="0.3"/>
    <row r="2802" customFormat="1" ht="14.4" customHeight="1" x14ac:dyDescent="0.3"/>
    <row r="2803" customFormat="1" ht="14.4" customHeight="1" x14ac:dyDescent="0.3"/>
    <row r="2804" customFormat="1" ht="14.4" customHeight="1" x14ac:dyDescent="0.3"/>
    <row r="2805" customFormat="1" ht="14.4" customHeight="1" x14ac:dyDescent="0.3"/>
    <row r="2806" customFormat="1" ht="14.4" customHeight="1" x14ac:dyDescent="0.3"/>
    <row r="2807" customFormat="1" ht="14.4" customHeight="1" x14ac:dyDescent="0.3"/>
    <row r="2808" customFormat="1" ht="14.4" customHeight="1" x14ac:dyDescent="0.3"/>
    <row r="2809" customFormat="1" ht="14.4" customHeight="1" x14ac:dyDescent="0.3"/>
    <row r="2810" customFormat="1" ht="14.4" customHeight="1" x14ac:dyDescent="0.3"/>
    <row r="2811" customFormat="1" ht="14.4" customHeight="1" x14ac:dyDescent="0.3"/>
    <row r="2812" customFormat="1" ht="14.4" customHeight="1" x14ac:dyDescent="0.3"/>
    <row r="2813" customFormat="1" ht="14.4" customHeight="1" x14ac:dyDescent="0.3"/>
    <row r="2814" customFormat="1" ht="14.4" customHeight="1" x14ac:dyDescent="0.3"/>
    <row r="2815" customFormat="1" ht="14.4" customHeight="1" x14ac:dyDescent="0.3"/>
    <row r="2816" customFormat="1" ht="14.4" customHeight="1" x14ac:dyDescent="0.3"/>
    <row r="2817" customFormat="1" ht="14.4" customHeight="1" x14ac:dyDescent="0.3"/>
    <row r="2818" customFormat="1" ht="14.4" customHeight="1" x14ac:dyDescent="0.3"/>
    <row r="2819" customFormat="1" ht="14.4" customHeight="1" x14ac:dyDescent="0.3"/>
    <row r="2820" customFormat="1" ht="14.4" customHeight="1" x14ac:dyDescent="0.3"/>
    <row r="2821" customFormat="1" ht="14.4" customHeight="1" x14ac:dyDescent="0.3"/>
    <row r="2822" customFormat="1" ht="14.4" customHeight="1" x14ac:dyDescent="0.3"/>
    <row r="2823" customFormat="1" ht="14.4" customHeight="1" x14ac:dyDescent="0.3"/>
    <row r="2824" customFormat="1" ht="14.4" customHeight="1" x14ac:dyDescent="0.3"/>
    <row r="2825" customFormat="1" ht="14.4" customHeight="1" x14ac:dyDescent="0.3"/>
    <row r="2826" customFormat="1" ht="14.4" customHeight="1" x14ac:dyDescent="0.3"/>
    <row r="2827" customFormat="1" ht="14.4" customHeight="1" x14ac:dyDescent="0.3"/>
    <row r="2828" customFormat="1" ht="14.4" customHeight="1" x14ac:dyDescent="0.3"/>
    <row r="2829" customFormat="1" ht="14.4" customHeight="1" x14ac:dyDescent="0.3"/>
    <row r="2830" customFormat="1" ht="14.4" customHeight="1" x14ac:dyDescent="0.3"/>
    <row r="2831" customFormat="1" ht="14.4" customHeight="1" x14ac:dyDescent="0.3"/>
    <row r="2832" customFormat="1" ht="14.4" customHeight="1" x14ac:dyDescent="0.3"/>
    <row r="2833" customFormat="1" ht="14.4" customHeight="1" x14ac:dyDescent="0.3"/>
    <row r="2834" customFormat="1" ht="14.4" customHeight="1" x14ac:dyDescent="0.3"/>
    <row r="2835" customFormat="1" ht="14.4" customHeight="1" x14ac:dyDescent="0.3"/>
    <row r="2836" customFormat="1" ht="14.4" customHeight="1" x14ac:dyDescent="0.3"/>
    <row r="2837" customFormat="1" ht="14.4" customHeight="1" x14ac:dyDescent="0.3"/>
    <row r="2838" customFormat="1" ht="14.4" customHeight="1" x14ac:dyDescent="0.3"/>
    <row r="2839" customFormat="1" ht="14.4" customHeight="1" x14ac:dyDescent="0.3"/>
    <row r="2840" customFormat="1" ht="14.4" customHeight="1" x14ac:dyDescent="0.3"/>
    <row r="2841" customFormat="1" ht="14.4" customHeight="1" x14ac:dyDescent="0.3"/>
    <row r="2842" customFormat="1" ht="14.4" customHeight="1" x14ac:dyDescent="0.3"/>
    <row r="2843" customFormat="1" ht="14.4" customHeight="1" x14ac:dyDescent="0.3"/>
    <row r="2844" customFormat="1" ht="14.4" customHeight="1" x14ac:dyDescent="0.3"/>
    <row r="2845" customFormat="1" ht="14.4" customHeight="1" x14ac:dyDescent="0.3"/>
    <row r="2846" customFormat="1" ht="14.4" customHeight="1" x14ac:dyDescent="0.3"/>
    <row r="2847" customFormat="1" ht="14.4" customHeight="1" x14ac:dyDescent="0.3"/>
    <row r="2848" customFormat="1" ht="14.4" customHeight="1" x14ac:dyDescent="0.3"/>
    <row r="2849" customFormat="1" ht="14.4" customHeight="1" x14ac:dyDescent="0.3"/>
    <row r="2850" customFormat="1" ht="14.4" customHeight="1" x14ac:dyDescent="0.3"/>
    <row r="2851" customFormat="1" ht="14.4" customHeight="1" x14ac:dyDescent="0.3"/>
    <row r="2852" customFormat="1" ht="14.4" customHeight="1" x14ac:dyDescent="0.3"/>
    <row r="2853" customFormat="1" ht="14.4" customHeight="1" x14ac:dyDescent="0.3"/>
    <row r="2854" customFormat="1" ht="14.4" customHeight="1" x14ac:dyDescent="0.3"/>
    <row r="2855" customFormat="1" ht="14.4" customHeight="1" x14ac:dyDescent="0.3"/>
    <row r="2856" customFormat="1" ht="14.4" customHeight="1" x14ac:dyDescent="0.3"/>
    <row r="2857" customFormat="1" ht="14.4" customHeight="1" x14ac:dyDescent="0.3"/>
    <row r="2858" customFormat="1" ht="14.4" customHeight="1" x14ac:dyDescent="0.3"/>
    <row r="2859" customFormat="1" ht="14.4" customHeight="1" x14ac:dyDescent="0.3"/>
    <row r="2860" customFormat="1" ht="14.4" customHeight="1" x14ac:dyDescent="0.3"/>
    <row r="2861" customFormat="1" ht="14.4" customHeight="1" x14ac:dyDescent="0.3"/>
    <row r="2862" customFormat="1" ht="14.4" customHeight="1" x14ac:dyDescent="0.3"/>
    <row r="2863" customFormat="1" ht="14.4" customHeight="1" x14ac:dyDescent="0.3"/>
    <row r="2864" customFormat="1" ht="14.4" customHeight="1" x14ac:dyDescent="0.3"/>
    <row r="2865" customFormat="1" ht="14.4" customHeight="1" x14ac:dyDescent="0.3"/>
    <row r="2866" customFormat="1" ht="14.4" customHeight="1" x14ac:dyDescent="0.3"/>
    <row r="2867" customFormat="1" ht="14.4" customHeight="1" x14ac:dyDescent="0.3"/>
    <row r="2868" customFormat="1" ht="14.4" customHeight="1" x14ac:dyDescent="0.3"/>
    <row r="2869" customFormat="1" ht="14.4" customHeight="1" x14ac:dyDescent="0.3"/>
    <row r="2870" customFormat="1" ht="14.4" customHeight="1" x14ac:dyDescent="0.3"/>
    <row r="2871" customFormat="1" ht="14.4" customHeight="1" x14ac:dyDescent="0.3"/>
    <row r="2872" customFormat="1" ht="14.4" customHeight="1" x14ac:dyDescent="0.3"/>
    <row r="2873" customFormat="1" ht="14.4" customHeight="1" x14ac:dyDescent="0.3"/>
    <row r="2874" customFormat="1" ht="14.4" customHeight="1" x14ac:dyDescent="0.3"/>
    <row r="2875" customFormat="1" ht="14.4" customHeight="1" x14ac:dyDescent="0.3"/>
    <row r="2876" customFormat="1" ht="14.4" customHeight="1" x14ac:dyDescent="0.3"/>
    <row r="2877" customFormat="1" ht="14.4" customHeight="1" x14ac:dyDescent="0.3"/>
    <row r="2878" customFormat="1" ht="14.4" customHeight="1" x14ac:dyDescent="0.3"/>
    <row r="2879" customFormat="1" ht="14.4" customHeight="1" x14ac:dyDescent="0.3"/>
    <row r="2880" customFormat="1" ht="14.4" customHeight="1" x14ac:dyDescent="0.3"/>
    <row r="2881" customFormat="1" ht="14.4" customHeight="1" x14ac:dyDescent="0.3"/>
    <row r="2882" customFormat="1" ht="14.4" customHeight="1" x14ac:dyDescent="0.3"/>
    <row r="2883" customFormat="1" ht="14.4" customHeight="1" x14ac:dyDescent="0.3"/>
    <row r="2884" customFormat="1" ht="14.4" customHeight="1" x14ac:dyDescent="0.3"/>
    <row r="2885" customFormat="1" ht="14.4" customHeight="1" x14ac:dyDescent="0.3"/>
    <row r="2886" customFormat="1" ht="14.4" customHeight="1" x14ac:dyDescent="0.3"/>
    <row r="2887" customFormat="1" ht="14.4" customHeight="1" x14ac:dyDescent="0.3"/>
    <row r="2888" customFormat="1" ht="14.4" customHeight="1" x14ac:dyDescent="0.3"/>
    <row r="2889" customFormat="1" ht="14.4" customHeight="1" x14ac:dyDescent="0.3"/>
    <row r="2890" customFormat="1" ht="14.4" customHeight="1" x14ac:dyDescent="0.3"/>
    <row r="2891" customFormat="1" ht="14.4" customHeight="1" x14ac:dyDescent="0.3"/>
    <row r="2892" customFormat="1" ht="14.4" customHeight="1" x14ac:dyDescent="0.3"/>
    <row r="2893" customFormat="1" ht="14.4" customHeight="1" x14ac:dyDescent="0.3"/>
    <row r="2894" customFormat="1" ht="14.4" customHeight="1" x14ac:dyDescent="0.3"/>
    <row r="2895" customFormat="1" ht="14.4" customHeight="1" x14ac:dyDescent="0.3"/>
    <row r="2896" customFormat="1" ht="14.4" customHeight="1" x14ac:dyDescent="0.3"/>
    <row r="2897" customFormat="1" ht="14.4" customHeight="1" x14ac:dyDescent="0.3"/>
    <row r="2898" customFormat="1" ht="14.4" customHeight="1" x14ac:dyDescent="0.3"/>
    <row r="2899" customFormat="1" ht="14.4" customHeight="1" x14ac:dyDescent="0.3"/>
    <row r="2900" customFormat="1" ht="14.4" customHeight="1" x14ac:dyDescent="0.3"/>
    <row r="2901" customFormat="1" ht="14.4" customHeight="1" x14ac:dyDescent="0.3"/>
    <row r="2902" customFormat="1" ht="14.4" customHeight="1" x14ac:dyDescent="0.3"/>
    <row r="2903" customFormat="1" ht="14.4" customHeight="1" x14ac:dyDescent="0.3"/>
    <row r="2904" customFormat="1" ht="14.4" customHeight="1" x14ac:dyDescent="0.3"/>
    <row r="2905" customFormat="1" ht="14.4" customHeight="1" x14ac:dyDescent="0.3"/>
    <row r="2906" customFormat="1" ht="14.4" customHeight="1" x14ac:dyDescent="0.3"/>
    <row r="2907" customFormat="1" ht="14.4" customHeight="1" x14ac:dyDescent="0.3"/>
    <row r="2908" customFormat="1" ht="14.4" customHeight="1" x14ac:dyDescent="0.3"/>
    <row r="2909" customFormat="1" ht="14.4" customHeight="1" x14ac:dyDescent="0.3"/>
    <row r="2910" customFormat="1" ht="14.4" customHeight="1" x14ac:dyDescent="0.3"/>
    <row r="2911" customFormat="1" ht="14.4" customHeight="1" x14ac:dyDescent="0.3"/>
    <row r="2912" customFormat="1" ht="14.4" customHeight="1" x14ac:dyDescent="0.3"/>
    <row r="2913" customFormat="1" ht="14.4" customHeight="1" x14ac:dyDescent="0.3"/>
    <row r="2914" customFormat="1" ht="14.4" customHeight="1" x14ac:dyDescent="0.3"/>
    <row r="2915" customFormat="1" ht="14.4" customHeight="1" x14ac:dyDescent="0.3"/>
    <row r="2916" customFormat="1" ht="14.4" customHeight="1" x14ac:dyDescent="0.3"/>
    <row r="2917" customFormat="1" ht="14.4" customHeight="1" x14ac:dyDescent="0.3"/>
    <row r="2918" customFormat="1" ht="14.4" customHeight="1" x14ac:dyDescent="0.3"/>
    <row r="2919" customFormat="1" ht="14.4" customHeight="1" x14ac:dyDescent="0.3"/>
    <row r="2920" customFormat="1" ht="14.4" customHeight="1" x14ac:dyDescent="0.3"/>
    <row r="2921" customFormat="1" ht="14.4" customHeight="1" x14ac:dyDescent="0.3"/>
    <row r="2922" customFormat="1" ht="14.4" customHeight="1" x14ac:dyDescent="0.3"/>
    <row r="2923" customFormat="1" ht="14.4" customHeight="1" x14ac:dyDescent="0.3"/>
    <row r="2924" customFormat="1" ht="14.4" customHeight="1" x14ac:dyDescent="0.3"/>
    <row r="2925" customFormat="1" ht="14.4" customHeight="1" x14ac:dyDescent="0.3"/>
    <row r="2926" customFormat="1" ht="14.4" customHeight="1" x14ac:dyDescent="0.3"/>
    <row r="2927" customFormat="1" ht="14.4" customHeight="1" x14ac:dyDescent="0.3"/>
    <row r="2928" customFormat="1" ht="14.4" customHeight="1" x14ac:dyDescent="0.3"/>
    <row r="2929" customFormat="1" ht="14.4" customHeight="1" x14ac:dyDescent="0.3"/>
    <row r="2930" customFormat="1" ht="14.4" customHeight="1" x14ac:dyDescent="0.3"/>
    <row r="2931" customFormat="1" ht="14.4" customHeight="1" x14ac:dyDescent="0.3"/>
    <row r="2932" customFormat="1" ht="14.4" customHeight="1" x14ac:dyDescent="0.3"/>
    <row r="2933" customFormat="1" ht="14.4" customHeight="1" x14ac:dyDescent="0.3"/>
    <row r="2934" customFormat="1" ht="14.4" customHeight="1" x14ac:dyDescent="0.3"/>
    <row r="2935" customFormat="1" ht="14.4" customHeight="1" x14ac:dyDescent="0.3"/>
    <row r="2936" customFormat="1" ht="14.4" customHeight="1" x14ac:dyDescent="0.3"/>
    <row r="2937" customFormat="1" ht="14.4" customHeight="1" x14ac:dyDescent="0.3"/>
    <row r="2938" customFormat="1" ht="14.4" customHeight="1" x14ac:dyDescent="0.3"/>
    <row r="2939" customFormat="1" ht="14.4" customHeight="1" x14ac:dyDescent="0.3"/>
    <row r="2940" customFormat="1" ht="14.4" customHeight="1" x14ac:dyDescent="0.3"/>
    <row r="2941" customFormat="1" ht="14.4" customHeight="1" x14ac:dyDescent="0.3"/>
    <row r="2942" customFormat="1" ht="14.4" customHeight="1" x14ac:dyDescent="0.3"/>
    <row r="2943" customFormat="1" ht="14.4" customHeight="1" x14ac:dyDescent="0.3"/>
    <row r="2944" customFormat="1" ht="14.4" customHeight="1" x14ac:dyDescent="0.3"/>
    <row r="2945" customFormat="1" ht="14.4" customHeight="1" x14ac:dyDescent="0.3"/>
    <row r="2946" customFormat="1" ht="14.4" customHeight="1" x14ac:dyDescent="0.3"/>
    <row r="2947" customFormat="1" ht="14.4" customHeight="1" x14ac:dyDescent="0.3"/>
    <row r="2948" customFormat="1" ht="14.4" customHeight="1" x14ac:dyDescent="0.3"/>
    <row r="2949" customFormat="1" ht="14.4" customHeight="1" x14ac:dyDescent="0.3"/>
    <row r="2950" customFormat="1" ht="14.4" customHeight="1" x14ac:dyDescent="0.3"/>
    <row r="2951" customFormat="1" ht="14.4" customHeight="1" x14ac:dyDescent="0.3"/>
    <row r="2952" customFormat="1" ht="14.4" customHeight="1" x14ac:dyDescent="0.3"/>
    <row r="2953" customFormat="1" ht="14.4" customHeight="1" x14ac:dyDescent="0.3"/>
    <row r="2954" customFormat="1" ht="14.4" customHeight="1" x14ac:dyDescent="0.3"/>
    <row r="2955" customFormat="1" ht="14.4" customHeight="1" x14ac:dyDescent="0.3"/>
    <row r="2956" customFormat="1" ht="14.4" customHeight="1" x14ac:dyDescent="0.3"/>
    <row r="2957" customFormat="1" ht="14.4" customHeight="1" x14ac:dyDescent="0.3"/>
    <row r="2958" customFormat="1" ht="14.4" customHeight="1" x14ac:dyDescent="0.3"/>
    <row r="2959" customFormat="1" ht="14.4" customHeight="1" x14ac:dyDescent="0.3"/>
    <row r="2960" customFormat="1" ht="14.4" customHeight="1" x14ac:dyDescent="0.3"/>
    <row r="2961" customFormat="1" ht="14.4" customHeight="1" x14ac:dyDescent="0.3"/>
    <row r="2962" customFormat="1" ht="14.4" customHeight="1" x14ac:dyDescent="0.3"/>
    <row r="2963" customFormat="1" ht="14.4" customHeight="1" x14ac:dyDescent="0.3"/>
    <row r="2964" customFormat="1" ht="14.4" customHeight="1" x14ac:dyDescent="0.3"/>
    <row r="2965" customFormat="1" ht="14.4" customHeight="1" x14ac:dyDescent="0.3"/>
    <row r="2966" customFormat="1" ht="14.4" customHeight="1" x14ac:dyDescent="0.3"/>
    <row r="2967" customFormat="1" ht="14.4" customHeight="1" x14ac:dyDescent="0.3"/>
    <row r="2968" customFormat="1" ht="14.4" customHeight="1" x14ac:dyDescent="0.3"/>
    <row r="2969" customFormat="1" ht="14.4" customHeight="1" x14ac:dyDescent="0.3"/>
    <row r="2970" customFormat="1" ht="14.4" customHeight="1" x14ac:dyDescent="0.3"/>
    <row r="2971" customFormat="1" ht="14.4" customHeight="1" x14ac:dyDescent="0.3"/>
    <row r="2972" customFormat="1" ht="14.4" customHeight="1" x14ac:dyDescent="0.3"/>
    <row r="2973" customFormat="1" ht="14.4" customHeight="1" x14ac:dyDescent="0.3"/>
    <row r="2974" customFormat="1" ht="14.4" customHeight="1" x14ac:dyDescent="0.3"/>
    <row r="2975" customFormat="1" ht="14.4" customHeight="1" x14ac:dyDescent="0.3"/>
    <row r="2976" customFormat="1" ht="14.4" customHeight="1" x14ac:dyDescent="0.3"/>
    <row r="2977" customFormat="1" ht="14.4" customHeight="1" x14ac:dyDescent="0.3"/>
    <row r="2978" customFormat="1" ht="14.4" customHeight="1" x14ac:dyDescent="0.3"/>
    <row r="2979" customFormat="1" ht="14.4" customHeight="1" x14ac:dyDescent="0.3"/>
    <row r="2980" customFormat="1" ht="14.4" customHeight="1" x14ac:dyDescent="0.3"/>
    <row r="2981" customFormat="1" ht="14.4" customHeight="1" x14ac:dyDescent="0.3"/>
    <row r="2982" customFormat="1" ht="14.4" customHeight="1" x14ac:dyDescent="0.3"/>
    <row r="2983" customFormat="1" ht="14.4" customHeight="1" x14ac:dyDescent="0.3"/>
    <row r="2984" customFormat="1" ht="14.4" customHeight="1" x14ac:dyDescent="0.3"/>
    <row r="2985" customFormat="1" ht="14.4" customHeight="1" x14ac:dyDescent="0.3"/>
    <row r="2986" customFormat="1" ht="14.4" customHeight="1" x14ac:dyDescent="0.3"/>
    <row r="2987" customFormat="1" ht="14.4" customHeight="1" x14ac:dyDescent="0.3"/>
    <row r="2988" customFormat="1" ht="14.4" customHeight="1" x14ac:dyDescent="0.3"/>
    <row r="2989" customFormat="1" ht="14.4" customHeight="1" x14ac:dyDescent="0.3"/>
    <row r="2990" customFormat="1" ht="14.4" customHeight="1" x14ac:dyDescent="0.3"/>
    <row r="2991" customFormat="1" ht="14.4" customHeight="1" x14ac:dyDescent="0.3"/>
    <row r="2992" customFormat="1" ht="14.4" customHeight="1" x14ac:dyDescent="0.3"/>
    <row r="2993" customFormat="1" ht="14.4" customHeight="1" x14ac:dyDescent="0.3"/>
    <row r="2994" customFormat="1" ht="14.4" customHeight="1" x14ac:dyDescent="0.3"/>
    <row r="2995" customFormat="1" ht="14.4" customHeight="1" x14ac:dyDescent="0.3"/>
    <row r="2996" customFormat="1" ht="14.4" customHeight="1" x14ac:dyDescent="0.3"/>
    <row r="2997" customFormat="1" ht="14.4" customHeight="1" x14ac:dyDescent="0.3"/>
    <row r="2998" customFormat="1" ht="14.4" customHeight="1" x14ac:dyDescent="0.3"/>
    <row r="2999" customFormat="1" ht="14.4" customHeight="1" x14ac:dyDescent="0.3"/>
    <row r="3000" customFormat="1" ht="14.4" customHeight="1" x14ac:dyDescent="0.3"/>
    <row r="3001" customFormat="1" ht="14.4" customHeight="1" x14ac:dyDescent="0.3"/>
    <row r="3002" customFormat="1" ht="14.4" customHeight="1" x14ac:dyDescent="0.3"/>
    <row r="3003" customFormat="1" ht="14.4" customHeight="1" x14ac:dyDescent="0.3"/>
    <row r="3004" customFormat="1" ht="14.4" customHeight="1" x14ac:dyDescent="0.3"/>
    <row r="3005" customFormat="1" ht="14.4" customHeight="1" x14ac:dyDescent="0.3"/>
    <row r="3006" customFormat="1" ht="14.4" customHeight="1" x14ac:dyDescent="0.3"/>
    <row r="3007" customFormat="1" ht="14.4" customHeight="1" x14ac:dyDescent="0.3"/>
    <row r="3008" customFormat="1" ht="14.4" customHeight="1" x14ac:dyDescent="0.3"/>
    <row r="3009" customFormat="1" ht="14.4" customHeight="1" x14ac:dyDescent="0.3"/>
    <row r="3010" customFormat="1" ht="14.4" customHeight="1" x14ac:dyDescent="0.3"/>
    <row r="3011" customFormat="1" ht="14.4" customHeight="1" x14ac:dyDescent="0.3"/>
    <row r="3012" customFormat="1" ht="14.4" customHeight="1" x14ac:dyDescent="0.3"/>
    <row r="3013" customFormat="1" ht="14.4" customHeight="1" x14ac:dyDescent="0.3"/>
    <row r="3014" customFormat="1" ht="14.4" customHeight="1" x14ac:dyDescent="0.3"/>
    <row r="3015" customFormat="1" ht="14.4" customHeight="1" x14ac:dyDescent="0.3"/>
    <row r="3016" customFormat="1" ht="14.4" customHeight="1" x14ac:dyDescent="0.3"/>
    <row r="3017" customFormat="1" ht="14.4" customHeight="1" x14ac:dyDescent="0.3"/>
    <row r="3018" customFormat="1" ht="14.4" customHeight="1" x14ac:dyDescent="0.3"/>
    <row r="3019" customFormat="1" ht="14.4" customHeight="1" x14ac:dyDescent="0.3"/>
    <row r="3020" customFormat="1" ht="14.4" customHeight="1" x14ac:dyDescent="0.3"/>
    <row r="3021" customFormat="1" ht="14.4" customHeight="1" x14ac:dyDescent="0.3"/>
    <row r="3022" customFormat="1" ht="14.4" customHeight="1" x14ac:dyDescent="0.3"/>
    <row r="3023" customFormat="1" ht="14.4" customHeight="1" x14ac:dyDescent="0.3"/>
    <row r="3024" customFormat="1" ht="14.4" customHeight="1" x14ac:dyDescent="0.3"/>
    <row r="3025" customFormat="1" ht="14.4" customHeight="1" x14ac:dyDescent="0.3"/>
    <row r="3026" customFormat="1" ht="14.4" customHeight="1" x14ac:dyDescent="0.3"/>
    <row r="3027" customFormat="1" ht="14.4" customHeight="1" x14ac:dyDescent="0.3"/>
    <row r="3028" customFormat="1" ht="14.4" customHeight="1" x14ac:dyDescent="0.3"/>
    <row r="3029" customFormat="1" ht="14.4" customHeight="1" x14ac:dyDescent="0.3"/>
    <row r="3030" customFormat="1" ht="14.4" customHeight="1" x14ac:dyDescent="0.3"/>
    <row r="3031" customFormat="1" ht="14.4" customHeight="1" x14ac:dyDescent="0.3"/>
    <row r="3032" customFormat="1" ht="14.4" customHeight="1" x14ac:dyDescent="0.3"/>
    <row r="3033" customFormat="1" ht="14.4" customHeight="1" x14ac:dyDescent="0.3"/>
    <row r="3034" customFormat="1" ht="14.4" customHeight="1" x14ac:dyDescent="0.3"/>
    <row r="3035" customFormat="1" ht="14.4" customHeight="1" x14ac:dyDescent="0.3"/>
    <row r="3036" customFormat="1" ht="14.4" customHeight="1" x14ac:dyDescent="0.3"/>
    <row r="3037" customFormat="1" ht="14.4" customHeight="1" x14ac:dyDescent="0.3"/>
    <row r="3038" customFormat="1" ht="14.4" customHeight="1" x14ac:dyDescent="0.3"/>
    <row r="3039" customFormat="1" ht="14.4" customHeight="1" x14ac:dyDescent="0.3"/>
    <row r="3040" customFormat="1" ht="14.4" customHeight="1" x14ac:dyDescent="0.3"/>
    <row r="3041" customFormat="1" ht="14.4" customHeight="1" x14ac:dyDescent="0.3"/>
    <row r="3042" customFormat="1" ht="14.4" customHeight="1" x14ac:dyDescent="0.3"/>
    <row r="3043" customFormat="1" ht="14.4" customHeight="1" x14ac:dyDescent="0.3"/>
    <row r="3044" customFormat="1" ht="14.4" customHeight="1" x14ac:dyDescent="0.3"/>
    <row r="3045" customFormat="1" ht="14.4" customHeight="1" x14ac:dyDescent="0.3"/>
    <row r="3046" customFormat="1" ht="14.4" customHeight="1" x14ac:dyDescent="0.3"/>
    <row r="3047" customFormat="1" ht="14.4" customHeight="1" x14ac:dyDescent="0.3"/>
    <row r="3048" customFormat="1" ht="14.4" customHeight="1" x14ac:dyDescent="0.3"/>
    <row r="3049" customFormat="1" ht="14.4" customHeight="1" x14ac:dyDescent="0.3"/>
    <row r="3050" customFormat="1" ht="14.4" customHeight="1" x14ac:dyDescent="0.3"/>
    <row r="3051" customFormat="1" ht="14.4" customHeight="1" x14ac:dyDescent="0.3"/>
    <row r="3052" customFormat="1" ht="14.4" customHeight="1" x14ac:dyDescent="0.3"/>
    <row r="3053" customFormat="1" ht="14.4" customHeight="1" x14ac:dyDescent="0.3"/>
    <row r="3054" customFormat="1" ht="14.4" customHeight="1" x14ac:dyDescent="0.3"/>
    <row r="3055" customFormat="1" ht="14.4" customHeight="1" x14ac:dyDescent="0.3"/>
    <row r="3056" customFormat="1" ht="14.4" customHeight="1" x14ac:dyDescent="0.3"/>
    <row r="3057" customFormat="1" ht="14.4" customHeight="1" x14ac:dyDescent="0.3"/>
    <row r="3058" customFormat="1" ht="14.4" customHeight="1" x14ac:dyDescent="0.3"/>
    <row r="3059" customFormat="1" ht="14.4" customHeight="1" x14ac:dyDescent="0.3"/>
    <row r="3060" customFormat="1" ht="14.4" customHeight="1" x14ac:dyDescent="0.3"/>
    <row r="3061" customFormat="1" ht="14.4" customHeight="1" x14ac:dyDescent="0.3"/>
    <row r="3062" customFormat="1" ht="14.4" customHeight="1" x14ac:dyDescent="0.3"/>
    <row r="3063" customFormat="1" ht="14.4" customHeight="1" x14ac:dyDescent="0.3"/>
    <row r="3064" customFormat="1" ht="14.4" customHeight="1" x14ac:dyDescent="0.3"/>
    <row r="3065" customFormat="1" ht="14.4" customHeight="1" x14ac:dyDescent="0.3"/>
    <row r="3066" customFormat="1" ht="14.4" customHeight="1" x14ac:dyDescent="0.3"/>
    <row r="3067" customFormat="1" ht="14.4" customHeight="1" x14ac:dyDescent="0.3"/>
    <row r="3068" customFormat="1" ht="14.4" customHeight="1" x14ac:dyDescent="0.3"/>
    <row r="3069" customFormat="1" ht="14.4" customHeight="1" x14ac:dyDescent="0.3"/>
    <row r="3070" customFormat="1" ht="14.4" customHeight="1" x14ac:dyDescent="0.3"/>
    <row r="3071" customFormat="1" ht="14.4" customHeight="1" x14ac:dyDescent="0.3"/>
    <row r="3072" customFormat="1" ht="14.4" customHeight="1" x14ac:dyDescent="0.3"/>
    <row r="3073" customFormat="1" ht="14.4" customHeight="1" x14ac:dyDescent="0.3"/>
    <row r="3074" customFormat="1" ht="14.4" customHeight="1" x14ac:dyDescent="0.3"/>
    <row r="3075" customFormat="1" ht="14.4" customHeight="1" x14ac:dyDescent="0.3"/>
    <row r="3076" customFormat="1" ht="14.4" customHeight="1" x14ac:dyDescent="0.3"/>
    <row r="3077" customFormat="1" ht="14.4" customHeight="1" x14ac:dyDescent="0.3"/>
    <row r="3078" customFormat="1" ht="14.4" customHeight="1" x14ac:dyDescent="0.3"/>
    <row r="3079" customFormat="1" ht="14.4" customHeight="1" x14ac:dyDescent="0.3"/>
    <row r="3080" customFormat="1" ht="14.4" customHeight="1" x14ac:dyDescent="0.3"/>
    <row r="3081" customFormat="1" ht="14.4" customHeight="1" x14ac:dyDescent="0.3"/>
    <row r="3082" customFormat="1" ht="14.4" customHeight="1" x14ac:dyDescent="0.3"/>
    <row r="3083" customFormat="1" ht="14.4" customHeight="1" x14ac:dyDescent="0.3"/>
    <row r="3084" customFormat="1" ht="14.4" customHeight="1" x14ac:dyDescent="0.3"/>
    <row r="3085" customFormat="1" ht="14.4" customHeight="1" x14ac:dyDescent="0.3"/>
    <row r="3086" customFormat="1" ht="14.4" customHeight="1" x14ac:dyDescent="0.3"/>
    <row r="3087" customFormat="1" ht="14.4" customHeight="1" x14ac:dyDescent="0.3"/>
    <row r="3088" customFormat="1" ht="14.4" customHeight="1" x14ac:dyDescent="0.3"/>
    <row r="3089" customFormat="1" ht="14.4" customHeight="1" x14ac:dyDescent="0.3"/>
    <row r="3090" customFormat="1" ht="14.4" customHeight="1" x14ac:dyDescent="0.3"/>
    <row r="3091" customFormat="1" ht="14.4" customHeight="1" x14ac:dyDescent="0.3"/>
    <row r="3092" customFormat="1" ht="14.4" customHeight="1" x14ac:dyDescent="0.3"/>
    <row r="3093" customFormat="1" ht="14.4" customHeight="1" x14ac:dyDescent="0.3"/>
    <row r="3094" customFormat="1" ht="14.4" customHeight="1" x14ac:dyDescent="0.3"/>
    <row r="3095" customFormat="1" ht="14.4" customHeight="1" x14ac:dyDescent="0.3"/>
    <row r="3096" customFormat="1" ht="14.4" customHeight="1" x14ac:dyDescent="0.3"/>
    <row r="3097" customFormat="1" ht="14.4" customHeight="1" x14ac:dyDescent="0.3"/>
    <row r="3098" customFormat="1" ht="14.4" customHeight="1" x14ac:dyDescent="0.3"/>
    <row r="3099" customFormat="1" ht="14.4" customHeight="1" x14ac:dyDescent="0.3"/>
    <row r="3100" customFormat="1" ht="14.4" customHeight="1" x14ac:dyDescent="0.3"/>
    <row r="3101" customFormat="1" ht="14.4" customHeight="1" x14ac:dyDescent="0.3"/>
    <row r="3102" customFormat="1" ht="14.4" customHeight="1" x14ac:dyDescent="0.3"/>
    <row r="3103" customFormat="1" ht="14.4" customHeight="1" x14ac:dyDescent="0.3"/>
    <row r="3104" customFormat="1" ht="14.4" customHeight="1" x14ac:dyDescent="0.3"/>
    <row r="3105" customFormat="1" ht="14.4" customHeight="1" x14ac:dyDescent="0.3"/>
    <row r="3106" customFormat="1" ht="14.4" customHeight="1" x14ac:dyDescent="0.3"/>
    <row r="3107" customFormat="1" ht="14.4" customHeight="1" x14ac:dyDescent="0.3"/>
    <row r="3108" customFormat="1" ht="14.4" customHeight="1" x14ac:dyDescent="0.3"/>
    <row r="3109" customFormat="1" ht="14.4" customHeight="1" x14ac:dyDescent="0.3"/>
    <row r="3110" customFormat="1" ht="14.4" customHeight="1" x14ac:dyDescent="0.3"/>
    <row r="3111" customFormat="1" ht="14.4" customHeight="1" x14ac:dyDescent="0.3"/>
    <row r="3112" customFormat="1" ht="14.4" customHeight="1" x14ac:dyDescent="0.3"/>
    <row r="3113" customFormat="1" ht="14.4" customHeight="1" x14ac:dyDescent="0.3"/>
    <row r="3114" customFormat="1" ht="14.4" customHeight="1" x14ac:dyDescent="0.3"/>
    <row r="3115" customFormat="1" ht="14.4" customHeight="1" x14ac:dyDescent="0.3"/>
    <row r="3116" customFormat="1" ht="14.4" customHeight="1" x14ac:dyDescent="0.3"/>
    <row r="3117" customFormat="1" ht="14.4" customHeight="1" x14ac:dyDescent="0.3"/>
    <row r="3118" customFormat="1" ht="14.4" customHeight="1" x14ac:dyDescent="0.3"/>
    <row r="3119" customFormat="1" ht="14.4" customHeight="1" x14ac:dyDescent="0.3"/>
    <row r="3120" customFormat="1" ht="14.4" customHeight="1" x14ac:dyDescent="0.3"/>
    <row r="3121" customFormat="1" ht="14.4" customHeight="1" x14ac:dyDescent="0.3"/>
    <row r="3122" customFormat="1" ht="14.4" customHeight="1" x14ac:dyDescent="0.3"/>
    <row r="3123" customFormat="1" ht="14.4" customHeight="1" x14ac:dyDescent="0.3"/>
    <row r="3124" customFormat="1" ht="14.4" customHeight="1" x14ac:dyDescent="0.3"/>
    <row r="3125" customFormat="1" ht="14.4" customHeight="1" x14ac:dyDescent="0.3"/>
    <row r="3126" customFormat="1" ht="14.4" customHeight="1" x14ac:dyDescent="0.3"/>
    <row r="3127" customFormat="1" ht="14.4" customHeight="1" x14ac:dyDescent="0.3"/>
    <row r="3128" customFormat="1" ht="14.4" customHeight="1" x14ac:dyDescent="0.3"/>
    <row r="3129" customFormat="1" ht="14.4" customHeight="1" x14ac:dyDescent="0.3"/>
    <row r="3130" customFormat="1" ht="14.4" customHeight="1" x14ac:dyDescent="0.3"/>
    <row r="3131" customFormat="1" ht="14.4" customHeight="1" x14ac:dyDescent="0.3"/>
    <row r="3132" customFormat="1" ht="14.4" customHeight="1" x14ac:dyDescent="0.3"/>
    <row r="3133" customFormat="1" ht="14.4" customHeight="1" x14ac:dyDescent="0.3"/>
    <row r="3134" customFormat="1" ht="14.4" customHeight="1" x14ac:dyDescent="0.3"/>
    <row r="3135" customFormat="1" ht="14.4" customHeight="1" x14ac:dyDescent="0.3"/>
    <row r="3136" customFormat="1" ht="14.4" customHeight="1" x14ac:dyDescent="0.3"/>
    <row r="3137" customFormat="1" ht="14.4" customHeight="1" x14ac:dyDescent="0.3"/>
    <row r="3138" customFormat="1" ht="14.4" customHeight="1" x14ac:dyDescent="0.3"/>
    <row r="3139" customFormat="1" ht="14.4" customHeight="1" x14ac:dyDescent="0.3"/>
    <row r="3140" customFormat="1" ht="14.4" customHeight="1" x14ac:dyDescent="0.3"/>
    <row r="3141" customFormat="1" ht="14.4" customHeight="1" x14ac:dyDescent="0.3"/>
    <row r="3142" customFormat="1" ht="14.4" customHeight="1" x14ac:dyDescent="0.3"/>
    <row r="3143" customFormat="1" ht="14.4" customHeight="1" x14ac:dyDescent="0.3"/>
    <row r="3144" customFormat="1" ht="14.4" customHeight="1" x14ac:dyDescent="0.3"/>
    <row r="3145" customFormat="1" ht="14.4" customHeight="1" x14ac:dyDescent="0.3"/>
    <row r="3146" customFormat="1" ht="14.4" customHeight="1" x14ac:dyDescent="0.3"/>
    <row r="3147" customFormat="1" ht="14.4" customHeight="1" x14ac:dyDescent="0.3"/>
    <row r="3148" customFormat="1" ht="14.4" customHeight="1" x14ac:dyDescent="0.3"/>
    <row r="3149" customFormat="1" ht="14.4" customHeight="1" x14ac:dyDescent="0.3"/>
    <row r="3150" customFormat="1" ht="14.4" customHeight="1" x14ac:dyDescent="0.3"/>
    <row r="3151" customFormat="1" ht="14.4" customHeight="1" x14ac:dyDescent="0.3"/>
    <row r="3152" customFormat="1" ht="14.4" customHeight="1" x14ac:dyDescent="0.3"/>
    <row r="3153" customFormat="1" ht="14.4" customHeight="1" x14ac:dyDescent="0.3"/>
    <row r="3154" customFormat="1" ht="14.4" customHeight="1" x14ac:dyDescent="0.3"/>
    <row r="3155" customFormat="1" ht="14.4" customHeight="1" x14ac:dyDescent="0.3"/>
    <row r="3156" customFormat="1" ht="14.4" customHeight="1" x14ac:dyDescent="0.3"/>
    <row r="3157" customFormat="1" ht="14.4" customHeight="1" x14ac:dyDescent="0.3"/>
    <row r="3158" customFormat="1" ht="14.4" customHeight="1" x14ac:dyDescent="0.3"/>
    <row r="3159" customFormat="1" ht="14.4" customHeight="1" x14ac:dyDescent="0.3"/>
    <row r="3160" customFormat="1" ht="14.4" customHeight="1" x14ac:dyDescent="0.3"/>
    <row r="3161" customFormat="1" ht="14.4" customHeight="1" x14ac:dyDescent="0.3"/>
    <row r="3162" customFormat="1" ht="14.4" customHeight="1" x14ac:dyDescent="0.3"/>
    <row r="3163" customFormat="1" ht="14.4" customHeight="1" x14ac:dyDescent="0.3"/>
    <row r="3164" customFormat="1" ht="14.4" customHeight="1" x14ac:dyDescent="0.3"/>
    <row r="3165" customFormat="1" ht="14.4" customHeight="1" x14ac:dyDescent="0.3"/>
    <row r="3166" customFormat="1" ht="14.4" customHeight="1" x14ac:dyDescent="0.3"/>
    <row r="3167" customFormat="1" ht="14.4" customHeight="1" x14ac:dyDescent="0.3"/>
    <row r="3168" customFormat="1" ht="14.4" customHeight="1" x14ac:dyDescent="0.3"/>
    <row r="3169" customFormat="1" ht="14.4" customHeight="1" x14ac:dyDescent="0.3"/>
    <row r="3170" customFormat="1" ht="14.4" customHeight="1" x14ac:dyDescent="0.3"/>
    <row r="3171" customFormat="1" ht="14.4" customHeight="1" x14ac:dyDescent="0.3"/>
    <row r="3172" customFormat="1" ht="14.4" customHeight="1" x14ac:dyDescent="0.3"/>
    <row r="3173" customFormat="1" ht="14.4" customHeight="1" x14ac:dyDescent="0.3"/>
    <row r="3174" customFormat="1" ht="14.4" customHeight="1" x14ac:dyDescent="0.3"/>
    <row r="3175" customFormat="1" ht="14.4" customHeight="1" x14ac:dyDescent="0.3"/>
    <row r="3176" customFormat="1" ht="14.4" customHeight="1" x14ac:dyDescent="0.3"/>
    <row r="3177" customFormat="1" ht="14.4" customHeight="1" x14ac:dyDescent="0.3"/>
    <row r="3178" customFormat="1" ht="14.4" customHeight="1" x14ac:dyDescent="0.3"/>
    <row r="3179" customFormat="1" ht="14.4" customHeight="1" x14ac:dyDescent="0.3"/>
    <row r="3180" customFormat="1" ht="14.4" customHeight="1" x14ac:dyDescent="0.3"/>
    <row r="3181" customFormat="1" ht="14.4" customHeight="1" x14ac:dyDescent="0.3"/>
    <row r="3182" customFormat="1" ht="14.4" customHeight="1" x14ac:dyDescent="0.3"/>
    <row r="3183" customFormat="1" ht="14.4" customHeight="1" x14ac:dyDescent="0.3"/>
    <row r="3184" customFormat="1" ht="14.4" customHeight="1" x14ac:dyDescent="0.3"/>
    <row r="3185" customFormat="1" ht="14.4" customHeight="1" x14ac:dyDescent="0.3"/>
    <row r="3186" customFormat="1" ht="14.4" customHeight="1" x14ac:dyDescent="0.3"/>
    <row r="3187" customFormat="1" ht="14.4" customHeight="1" x14ac:dyDescent="0.3"/>
    <row r="3188" customFormat="1" ht="14.4" customHeight="1" x14ac:dyDescent="0.3"/>
    <row r="3189" customFormat="1" ht="14.4" customHeight="1" x14ac:dyDescent="0.3"/>
    <row r="3190" customFormat="1" ht="14.4" customHeight="1" x14ac:dyDescent="0.3"/>
    <row r="3191" customFormat="1" ht="14.4" customHeight="1" x14ac:dyDescent="0.3"/>
    <row r="3192" customFormat="1" ht="14.4" customHeight="1" x14ac:dyDescent="0.3"/>
    <row r="3193" customFormat="1" ht="14.4" customHeight="1" x14ac:dyDescent="0.3"/>
    <row r="3194" customFormat="1" ht="14.4" customHeight="1" x14ac:dyDescent="0.3"/>
    <row r="3195" customFormat="1" ht="14.4" customHeight="1" x14ac:dyDescent="0.3"/>
    <row r="3196" customFormat="1" ht="14.4" customHeight="1" x14ac:dyDescent="0.3"/>
    <row r="3197" customFormat="1" ht="14.4" customHeight="1" x14ac:dyDescent="0.3"/>
    <row r="3198" customFormat="1" ht="14.4" customHeight="1" x14ac:dyDescent="0.3"/>
    <row r="3199" customFormat="1" ht="14.4" customHeight="1" x14ac:dyDescent="0.3"/>
    <row r="3200" customFormat="1" ht="14.4" customHeight="1" x14ac:dyDescent="0.3"/>
    <row r="3201" customFormat="1" ht="14.4" customHeight="1" x14ac:dyDescent="0.3"/>
    <row r="3202" customFormat="1" ht="14.4" customHeight="1" x14ac:dyDescent="0.3"/>
    <row r="3203" customFormat="1" ht="14.4" customHeight="1" x14ac:dyDescent="0.3"/>
    <row r="3204" customFormat="1" ht="14.4" customHeight="1" x14ac:dyDescent="0.3"/>
    <row r="3205" customFormat="1" ht="14.4" customHeight="1" x14ac:dyDescent="0.3"/>
    <row r="3206" customFormat="1" ht="14.4" customHeight="1" x14ac:dyDescent="0.3"/>
    <row r="3207" customFormat="1" ht="14.4" customHeight="1" x14ac:dyDescent="0.3"/>
    <row r="3208" customFormat="1" ht="14.4" customHeight="1" x14ac:dyDescent="0.3"/>
    <row r="3209" customFormat="1" ht="14.4" customHeight="1" x14ac:dyDescent="0.3"/>
    <row r="3210" customFormat="1" ht="14.4" customHeight="1" x14ac:dyDescent="0.3"/>
    <row r="3211" customFormat="1" ht="14.4" customHeight="1" x14ac:dyDescent="0.3"/>
    <row r="3212" customFormat="1" ht="14.4" customHeight="1" x14ac:dyDescent="0.3"/>
    <row r="3213" customFormat="1" ht="14.4" customHeight="1" x14ac:dyDescent="0.3"/>
    <row r="3214" customFormat="1" ht="14.4" customHeight="1" x14ac:dyDescent="0.3"/>
    <row r="3215" customFormat="1" ht="14.4" customHeight="1" x14ac:dyDescent="0.3"/>
    <row r="3216" customFormat="1" ht="14.4" customHeight="1" x14ac:dyDescent="0.3"/>
    <row r="3217" customFormat="1" ht="14.4" customHeight="1" x14ac:dyDescent="0.3"/>
    <row r="3218" customFormat="1" ht="14.4" customHeight="1" x14ac:dyDescent="0.3"/>
    <row r="3219" customFormat="1" ht="14.4" customHeight="1" x14ac:dyDescent="0.3"/>
    <row r="3220" customFormat="1" ht="14.4" customHeight="1" x14ac:dyDescent="0.3"/>
    <row r="3221" customFormat="1" ht="14.4" customHeight="1" x14ac:dyDescent="0.3"/>
    <row r="3222" customFormat="1" ht="14.4" customHeight="1" x14ac:dyDescent="0.3"/>
    <row r="3223" customFormat="1" ht="14.4" customHeight="1" x14ac:dyDescent="0.3"/>
    <row r="3224" customFormat="1" ht="14.4" customHeight="1" x14ac:dyDescent="0.3"/>
    <row r="3225" customFormat="1" ht="14.4" customHeight="1" x14ac:dyDescent="0.3"/>
    <row r="3226" customFormat="1" ht="14.4" customHeight="1" x14ac:dyDescent="0.3"/>
    <row r="3227" customFormat="1" ht="14.4" customHeight="1" x14ac:dyDescent="0.3"/>
    <row r="3228" customFormat="1" ht="14.4" customHeight="1" x14ac:dyDescent="0.3"/>
    <row r="3229" customFormat="1" ht="14.4" customHeight="1" x14ac:dyDescent="0.3"/>
    <row r="3230" customFormat="1" ht="14.4" customHeight="1" x14ac:dyDescent="0.3"/>
    <row r="3231" customFormat="1" ht="14.4" customHeight="1" x14ac:dyDescent="0.3"/>
    <row r="3232" customFormat="1" ht="14.4" customHeight="1" x14ac:dyDescent="0.3"/>
    <row r="3233" customFormat="1" ht="14.4" customHeight="1" x14ac:dyDescent="0.3"/>
    <row r="3234" customFormat="1" ht="14.4" customHeight="1" x14ac:dyDescent="0.3"/>
    <row r="3235" customFormat="1" ht="14.4" customHeight="1" x14ac:dyDescent="0.3"/>
    <row r="3236" customFormat="1" ht="14.4" customHeight="1" x14ac:dyDescent="0.3"/>
    <row r="3237" customFormat="1" ht="14.4" customHeight="1" x14ac:dyDescent="0.3"/>
    <row r="3238" customFormat="1" ht="14.4" customHeight="1" x14ac:dyDescent="0.3"/>
    <row r="3239" customFormat="1" ht="14.4" customHeight="1" x14ac:dyDescent="0.3"/>
    <row r="3240" customFormat="1" ht="14.4" customHeight="1" x14ac:dyDescent="0.3"/>
    <row r="3241" customFormat="1" ht="14.4" customHeight="1" x14ac:dyDescent="0.3"/>
    <row r="3242" customFormat="1" ht="14.4" customHeight="1" x14ac:dyDescent="0.3"/>
    <row r="3243" customFormat="1" ht="14.4" customHeight="1" x14ac:dyDescent="0.3"/>
    <row r="3244" customFormat="1" ht="14.4" customHeight="1" x14ac:dyDescent="0.3"/>
    <row r="3245" customFormat="1" ht="14.4" customHeight="1" x14ac:dyDescent="0.3"/>
    <row r="3246" customFormat="1" ht="14.4" customHeight="1" x14ac:dyDescent="0.3"/>
    <row r="3247" customFormat="1" ht="14.4" customHeight="1" x14ac:dyDescent="0.3"/>
    <row r="3248" customFormat="1" ht="14.4" customHeight="1" x14ac:dyDescent="0.3"/>
    <row r="3249" customFormat="1" ht="14.4" customHeight="1" x14ac:dyDescent="0.3"/>
    <row r="3250" customFormat="1" ht="14.4" customHeight="1" x14ac:dyDescent="0.3"/>
    <row r="3251" customFormat="1" ht="14.4" customHeight="1" x14ac:dyDescent="0.3"/>
    <row r="3252" customFormat="1" ht="14.4" customHeight="1" x14ac:dyDescent="0.3"/>
    <row r="3253" customFormat="1" ht="14.4" customHeight="1" x14ac:dyDescent="0.3"/>
    <row r="3254" customFormat="1" ht="14.4" customHeight="1" x14ac:dyDescent="0.3"/>
    <row r="3255" customFormat="1" ht="14.4" customHeight="1" x14ac:dyDescent="0.3"/>
    <row r="3256" customFormat="1" ht="14.4" customHeight="1" x14ac:dyDescent="0.3"/>
    <row r="3257" customFormat="1" ht="14.4" customHeight="1" x14ac:dyDescent="0.3"/>
    <row r="3258" customFormat="1" ht="14.4" customHeight="1" x14ac:dyDescent="0.3"/>
    <row r="3259" customFormat="1" ht="14.4" customHeight="1" x14ac:dyDescent="0.3"/>
    <row r="3260" customFormat="1" ht="14.4" customHeight="1" x14ac:dyDescent="0.3"/>
    <row r="3261" customFormat="1" ht="14.4" customHeight="1" x14ac:dyDescent="0.3"/>
    <row r="3262" customFormat="1" ht="14.4" customHeight="1" x14ac:dyDescent="0.3"/>
    <row r="3263" customFormat="1" ht="14.4" customHeight="1" x14ac:dyDescent="0.3"/>
    <row r="3264" customFormat="1" ht="14.4" customHeight="1" x14ac:dyDescent="0.3"/>
    <row r="3265" customFormat="1" ht="14.4" customHeight="1" x14ac:dyDescent="0.3"/>
    <row r="3266" customFormat="1" ht="14.4" customHeight="1" x14ac:dyDescent="0.3"/>
    <row r="3267" customFormat="1" ht="14.4" customHeight="1" x14ac:dyDescent="0.3"/>
    <row r="3268" customFormat="1" ht="14.4" customHeight="1" x14ac:dyDescent="0.3"/>
    <row r="3269" customFormat="1" ht="14.4" customHeight="1" x14ac:dyDescent="0.3"/>
    <row r="3270" customFormat="1" ht="14.4" customHeight="1" x14ac:dyDescent="0.3"/>
    <row r="3271" customFormat="1" ht="14.4" customHeight="1" x14ac:dyDescent="0.3"/>
    <row r="3272" customFormat="1" ht="14.4" customHeight="1" x14ac:dyDescent="0.3"/>
    <row r="3273" customFormat="1" ht="14.4" customHeight="1" x14ac:dyDescent="0.3"/>
    <row r="3274" customFormat="1" ht="14.4" customHeight="1" x14ac:dyDescent="0.3"/>
    <row r="3275" customFormat="1" ht="14.4" customHeight="1" x14ac:dyDescent="0.3"/>
    <row r="3276" customFormat="1" ht="14.4" customHeight="1" x14ac:dyDescent="0.3"/>
    <row r="3277" customFormat="1" ht="14.4" customHeight="1" x14ac:dyDescent="0.3"/>
    <row r="3278" customFormat="1" ht="14.4" customHeight="1" x14ac:dyDescent="0.3"/>
    <row r="3279" customFormat="1" ht="14.4" customHeight="1" x14ac:dyDescent="0.3"/>
    <row r="3280" customFormat="1" ht="14.4" customHeight="1" x14ac:dyDescent="0.3"/>
    <row r="3281" customFormat="1" ht="14.4" customHeight="1" x14ac:dyDescent="0.3"/>
    <row r="3282" customFormat="1" ht="14.4" customHeight="1" x14ac:dyDescent="0.3"/>
    <row r="3283" customFormat="1" ht="14.4" customHeight="1" x14ac:dyDescent="0.3"/>
    <row r="3284" customFormat="1" ht="14.4" customHeight="1" x14ac:dyDescent="0.3"/>
    <row r="3285" customFormat="1" ht="14.4" customHeight="1" x14ac:dyDescent="0.3"/>
    <row r="3286" customFormat="1" ht="14.4" customHeight="1" x14ac:dyDescent="0.3"/>
    <row r="3287" customFormat="1" ht="14.4" customHeight="1" x14ac:dyDescent="0.3"/>
    <row r="3288" customFormat="1" ht="14.4" customHeight="1" x14ac:dyDescent="0.3"/>
    <row r="3289" customFormat="1" ht="14.4" customHeight="1" x14ac:dyDescent="0.3"/>
    <row r="3290" customFormat="1" ht="14.4" customHeight="1" x14ac:dyDescent="0.3"/>
    <row r="3291" customFormat="1" ht="14.4" customHeight="1" x14ac:dyDescent="0.3"/>
    <row r="3292" customFormat="1" ht="14.4" customHeight="1" x14ac:dyDescent="0.3"/>
    <row r="3293" customFormat="1" ht="14.4" customHeight="1" x14ac:dyDescent="0.3"/>
    <row r="3294" customFormat="1" ht="14.4" customHeight="1" x14ac:dyDescent="0.3"/>
    <row r="3295" customFormat="1" ht="14.4" customHeight="1" x14ac:dyDescent="0.3"/>
    <row r="3296" customFormat="1" ht="14.4" customHeight="1" x14ac:dyDescent="0.3"/>
    <row r="3297" customFormat="1" ht="14.4" customHeight="1" x14ac:dyDescent="0.3"/>
    <row r="3298" customFormat="1" ht="14.4" customHeight="1" x14ac:dyDescent="0.3"/>
    <row r="3299" customFormat="1" ht="14.4" customHeight="1" x14ac:dyDescent="0.3"/>
    <row r="3300" customFormat="1" ht="14.4" customHeight="1" x14ac:dyDescent="0.3"/>
    <row r="3301" customFormat="1" ht="14.4" customHeight="1" x14ac:dyDescent="0.3"/>
    <row r="3302" customFormat="1" ht="14.4" customHeight="1" x14ac:dyDescent="0.3"/>
    <row r="3303" customFormat="1" ht="14.4" customHeight="1" x14ac:dyDescent="0.3"/>
    <row r="3304" customFormat="1" ht="14.4" customHeight="1" x14ac:dyDescent="0.3"/>
    <row r="3305" customFormat="1" ht="14.4" customHeight="1" x14ac:dyDescent="0.3"/>
    <row r="3306" customFormat="1" ht="14.4" customHeight="1" x14ac:dyDescent="0.3"/>
    <row r="3307" customFormat="1" ht="14.4" customHeight="1" x14ac:dyDescent="0.3"/>
    <row r="3308" customFormat="1" ht="14.4" customHeight="1" x14ac:dyDescent="0.3"/>
    <row r="3309" customFormat="1" ht="14.4" customHeight="1" x14ac:dyDescent="0.3"/>
    <row r="3310" customFormat="1" ht="14.4" customHeight="1" x14ac:dyDescent="0.3"/>
    <row r="3311" customFormat="1" ht="14.4" customHeight="1" x14ac:dyDescent="0.3"/>
    <row r="3312" customFormat="1" ht="14.4" customHeight="1" x14ac:dyDescent="0.3"/>
    <row r="3313" customFormat="1" ht="14.4" customHeight="1" x14ac:dyDescent="0.3"/>
    <row r="3314" customFormat="1" ht="14.4" customHeight="1" x14ac:dyDescent="0.3"/>
    <row r="3315" customFormat="1" ht="14.4" customHeight="1" x14ac:dyDescent="0.3"/>
    <row r="3316" customFormat="1" ht="14.4" customHeight="1" x14ac:dyDescent="0.3"/>
    <row r="3317" customFormat="1" ht="14.4" customHeight="1" x14ac:dyDescent="0.3"/>
    <row r="3318" customFormat="1" ht="14.4" customHeight="1" x14ac:dyDescent="0.3"/>
    <row r="3319" customFormat="1" ht="14.4" customHeight="1" x14ac:dyDescent="0.3"/>
    <row r="3320" customFormat="1" ht="14.4" customHeight="1" x14ac:dyDescent="0.3"/>
    <row r="3321" customFormat="1" ht="14.4" customHeight="1" x14ac:dyDescent="0.3"/>
    <row r="3322" customFormat="1" ht="14.4" customHeight="1" x14ac:dyDescent="0.3"/>
    <row r="3323" customFormat="1" ht="14.4" customHeight="1" x14ac:dyDescent="0.3"/>
    <row r="3324" customFormat="1" ht="14.4" customHeight="1" x14ac:dyDescent="0.3"/>
    <row r="3325" customFormat="1" ht="14.4" customHeight="1" x14ac:dyDescent="0.3"/>
    <row r="3326" customFormat="1" ht="14.4" customHeight="1" x14ac:dyDescent="0.3"/>
    <row r="3327" customFormat="1" ht="14.4" customHeight="1" x14ac:dyDescent="0.3"/>
    <row r="3328" customFormat="1" ht="14.4" customHeight="1" x14ac:dyDescent="0.3"/>
    <row r="3329" customFormat="1" ht="14.4" customHeight="1" x14ac:dyDescent="0.3"/>
    <row r="3330" customFormat="1" ht="14.4" customHeight="1" x14ac:dyDescent="0.3"/>
    <row r="3331" customFormat="1" ht="14.4" customHeight="1" x14ac:dyDescent="0.3"/>
    <row r="3332" customFormat="1" ht="14.4" customHeight="1" x14ac:dyDescent="0.3"/>
    <row r="3333" customFormat="1" ht="14.4" customHeight="1" x14ac:dyDescent="0.3"/>
    <row r="3334" customFormat="1" ht="14.4" customHeight="1" x14ac:dyDescent="0.3"/>
    <row r="3335" customFormat="1" ht="14.4" customHeight="1" x14ac:dyDescent="0.3"/>
    <row r="3336" customFormat="1" ht="14.4" customHeight="1" x14ac:dyDescent="0.3"/>
    <row r="3337" customFormat="1" ht="14.4" customHeight="1" x14ac:dyDescent="0.3"/>
    <row r="3338" customFormat="1" ht="14.4" customHeight="1" x14ac:dyDescent="0.3"/>
    <row r="3339" customFormat="1" ht="14.4" customHeight="1" x14ac:dyDescent="0.3"/>
    <row r="3340" customFormat="1" ht="14.4" customHeight="1" x14ac:dyDescent="0.3"/>
    <row r="3341" customFormat="1" ht="14.4" customHeight="1" x14ac:dyDescent="0.3"/>
    <row r="3342" customFormat="1" ht="14.4" customHeight="1" x14ac:dyDescent="0.3"/>
    <row r="3343" customFormat="1" ht="14.4" customHeight="1" x14ac:dyDescent="0.3"/>
    <row r="3344" customFormat="1" ht="14.4" customHeight="1" x14ac:dyDescent="0.3"/>
    <row r="3345" customFormat="1" ht="14.4" customHeight="1" x14ac:dyDescent="0.3"/>
    <row r="3346" customFormat="1" ht="14.4" customHeight="1" x14ac:dyDescent="0.3"/>
    <row r="3347" customFormat="1" ht="14.4" customHeight="1" x14ac:dyDescent="0.3"/>
    <row r="3348" customFormat="1" ht="14.4" customHeight="1" x14ac:dyDescent="0.3"/>
    <row r="3349" customFormat="1" ht="14.4" customHeight="1" x14ac:dyDescent="0.3"/>
    <row r="3350" customFormat="1" ht="14.4" customHeight="1" x14ac:dyDescent="0.3"/>
    <row r="3351" customFormat="1" ht="14.4" customHeight="1" x14ac:dyDescent="0.3"/>
    <row r="3352" customFormat="1" ht="14.4" customHeight="1" x14ac:dyDescent="0.3"/>
    <row r="3353" customFormat="1" ht="14.4" customHeight="1" x14ac:dyDescent="0.3"/>
    <row r="3354" customFormat="1" ht="14.4" customHeight="1" x14ac:dyDescent="0.3"/>
    <row r="3355" customFormat="1" ht="14.4" customHeight="1" x14ac:dyDescent="0.3"/>
    <row r="3356" customFormat="1" ht="14.4" customHeight="1" x14ac:dyDescent="0.3"/>
    <row r="3357" customFormat="1" ht="14.4" customHeight="1" x14ac:dyDescent="0.3"/>
    <row r="3358" customFormat="1" ht="14.4" customHeight="1" x14ac:dyDescent="0.3"/>
    <row r="3359" customFormat="1" ht="14.4" customHeight="1" x14ac:dyDescent="0.3"/>
    <row r="3360" customFormat="1" ht="14.4" customHeight="1" x14ac:dyDescent="0.3"/>
    <row r="3361" customFormat="1" ht="14.4" customHeight="1" x14ac:dyDescent="0.3"/>
    <row r="3362" customFormat="1" ht="14.4" customHeight="1" x14ac:dyDescent="0.3"/>
    <row r="3363" customFormat="1" ht="14.4" customHeight="1" x14ac:dyDescent="0.3"/>
    <row r="3364" customFormat="1" ht="14.4" customHeight="1" x14ac:dyDescent="0.3"/>
    <row r="3365" customFormat="1" ht="14.4" customHeight="1" x14ac:dyDescent="0.3"/>
    <row r="3366" customFormat="1" ht="14.4" customHeight="1" x14ac:dyDescent="0.3"/>
    <row r="3367" customFormat="1" ht="14.4" customHeight="1" x14ac:dyDescent="0.3"/>
    <row r="3368" customFormat="1" ht="14.4" customHeight="1" x14ac:dyDescent="0.3"/>
    <row r="3369" customFormat="1" ht="14.4" customHeight="1" x14ac:dyDescent="0.3"/>
    <row r="3370" customFormat="1" ht="14.4" customHeight="1" x14ac:dyDescent="0.3"/>
    <row r="3371" customFormat="1" ht="14.4" customHeight="1" x14ac:dyDescent="0.3"/>
    <row r="3372" customFormat="1" ht="14.4" customHeight="1" x14ac:dyDescent="0.3"/>
    <row r="3373" customFormat="1" ht="14.4" customHeight="1" x14ac:dyDescent="0.3"/>
    <row r="3374" customFormat="1" ht="14.4" customHeight="1" x14ac:dyDescent="0.3"/>
    <row r="3375" customFormat="1" ht="14.4" customHeight="1" x14ac:dyDescent="0.3"/>
    <row r="3376" customFormat="1" ht="14.4" customHeight="1" x14ac:dyDescent="0.3"/>
    <row r="3377" customFormat="1" ht="14.4" customHeight="1" x14ac:dyDescent="0.3"/>
    <row r="3378" customFormat="1" ht="14.4" customHeight="1" x14ac:dyDescent="0.3"/>
    <row r="3379" customFormat="1" ht="14.4" customHeight="1" x14ac:dyDescent="0.3"/>
    <row r="3380" customFormat="1" ht="14.4" customHeight="1" x14ac:dyDescent="0.3"/>
    <row r="3381" customFormat="1" ht="14.4" customHeight="1" x14ac:dyDescent="0.3"/>
    <row r="3382" customFormat="1" ht="14.4" customHeight="1" x14ac:dyDescent="0.3"/>
    <row r="3383" customFormat="1" ht="14.4" customHeight="1" x14ac:dyDescent="0.3"/>
    <row r="3384" customFormat="1" ht="14.4" customHeight="1" x14ac:dyDescent="0.3"/>
    <row r="3385" customFormat="1" ht="14.4" customHeight="1" x14ac:dyDescent="0.3"/>
    <row r="3386" customFormat="1" ht="14.4" customHeight="1" x14ac:dyDescent="0.3"/>
    <row r="3387" customFormat="1" ht="14.4" customHeight="1" x14ac:dyDescent="0.3"/>
    <row r="3388" customFormat="1" ht="14.4" customHeight="1" x14ac:dyDescent="0.3"/>
    <row r="3389" customFormat="1" ht="14.4" customHeight="1" x14ac:dyDescent="0.3"/>
    <row r="3390" customFormat="1" ht="14.4" customHeight="1" x14ac:dyDescent="0.3"/>
    <row r="3391" customFormat="1" ht="14.4" customHeight="1" x14ac:dyDescent="0.3"/>
    <row r="3392" customFormat="1" ht="14.4" customHeight="1" x14ac:dyDescent="0.3"/>
    <row r="3393" customFormat="1" ht="14.4" customHeight="1" x14ac:dyDescent="0.3"/>
    <row r="3394" customFormat="1" ht="14.4" customHeight="1" x14ac:dyDescent="0.3"/>
    <row r="3395" customFormat="1" ht="14.4" customHeight="1" x14ac:dyDescent="0.3"/>
    <row r="3396" customFormat="1" ht="14.4" customHeight="1" x14ac:dyDescent="0.3"/>
    <row r="3397" customFormat="1" ht="14.4" customHeight="1" x14ac:dyDescent="0.3"/>
    <row r="3398" customFormat="1" ht="14.4" customHeight="1" x14ac:dyDescent="0.3"/>
    <row r="3399" customFormat="1" ht="14.4" customHeight="1" x14ac:dyDescent="0.3"/>
    <row r="3400" customFormat="1" ht="14.4" customHeight="1" x14ac:dyDescent="0.3"/>
    <row r="3401" customFormat="1" ht="14.4" customHeight="1" x14ac:dyDescent="0.3"/>
    <row r="3402" customFormat="1" ht="14.4" customHeight="1" x14ac:dyDescent="0.3"/>
    <row r="3403" customFormat="1" ht="14.4" customHeight="1" x14ac:dyDescent="0.3"/>
    <row r="3404" customFormat="1" ht="14.4" customHeight="1" x14ac:dyDescent="0.3"/>
    <row r="3405" customFormat="1" ht="14.4" customHeight="1" x14ac:dyDescent="0.3"/>
    <row r="3406" customFormat="1" ht="14.4" customHeight="1" x14ac:dyDescent="0.3"/>
    <row r="3407" customFormat="1" ht="14.4" customHeight="1" x14ac:dyDescent="0.3"/>
    <row r="3408" customFormat="1" ht="14.4" customHeight="1" x14ac:dyDescent="0.3"/>
    <row r="3409" customFormat="1" ht="14.4" customHeight="1" x14ac:dyDescent="0.3"/>
    <row r="3410" customFormat="1" ht="14.4" customHeight="1" x14ac:dyDescent="0.3"/>
    <row r="3411" customFormat="1" ht="14.4" customHeight="1" x14ac:dyDescent="0.3"/>
    <row r="3412" customFormat="1" ht="14.4" customHeight="1" x14ac:dyDescent="0.3"/>
    <row r="3413" customFormat="1" ht="14.4" customHeight="1" x14ac:dyDescent="0.3"/>
    <row r="3414" customFormat="1" ht="14.4" customHeight="1" x14ac:dyDescent="0.3"/>
    <row r="3415" customFormat="1" ht="14.4" customHeight="1" x14ac:dyDescent="0.3"/>
    <row r="3416" customFormat="1" ht="14.4" customHeight="1" x14ac:dyDescent="0.3"/>
    <row r="3417" customFormat="1" ht="14.4" customHeight="1" x14ac:dyDescent="0.3"/>
    <row r="3418" customFormat="1" ht="14.4" customHeight="1" x14ac:dyDescent="0.3"/>
    <row r="3419" customFormat="1" ht="14.4" customHeight="1" x14ac:dyDescent="0.3"/>
    <row r="3420" customFormat="1" ht="14.4" customHeight="1" x14ac:dyDescent="0.3"/>
    <row r="3421" customFormat="1" ht="14.4" customHeight="1" x14ac:dyDescent="0.3"/>
    <row r="3422" customFormat="1" ht="14.4" customHeight="1" x14ac:dyDescent="0.3"/>
    <row r="3423" customFormat="1" ht="14.4" customHeight="1" x14ac:dyDescent="0.3"/>
    <row r="3424" customFormat="1" ht="14.4" customHeight="1" x14ac:dyDescent="0.3"/>
    <row r="3425" customFormat="1" ht="14.4" customHeight="1" x14ac:dyDescent="0.3"/>
    <row r="3426" customFormat="1" ht="14.4" customHeight="1" x14ac:dyDescent="0.3"/>
    <row r="3427" customFormat="1" ht="14.4" customHeight="1" x14ac:dyDescent="0.3"/>
    <row r="3428" customFormat="1" ht="14.4" customHeight="1" x14ac:dyDescent="0.3"/>
    <row r="3429" customFormat="1" ht="14.4" customHeight="1" x14ac:dyDescent="0.3"/>
    <row r="3430" customFormat="1" ht="14.4" customHeight="1" x14ac:dyDescent="0.3"/>
    <row r="3431" customFormat="1" ht="14.4" customHeight="1" x14ac:dyDescent="0.3"/>
    <row r="3432" customFormat="1" ht="14.4" customHeight="1" x14ac:dyDescent="0.3"/>
    <row r="3433" customFormat="1" ht="14.4" customHeight="1" x14ac:dyDescent="0.3"/>
    <row r="3434" customFormat="1" ht="14.4" customHeight="1" x14ac:dyDescent="0.3"/>
    <row r="3435" customFormat="1" ht="14.4" customHeight="1" x14ac:dyDescent="0.3"/>
    <row r="3436" customFormat="1" ht="14.4" customHeight="1" x14ac:dyDescent="0.3"/>
    <row r="3437" customFormat="1" ht="14.4" customHeight="1" x14ac:dyDescent="0.3"/>
    <row r="3438" customFormat="1" ht="14.4" customHeight="1" x14ac:dyDescent="0.3"/>
    <row r="3439" customFormat="1" ht="14.4" customHeight="1" x14ac:dyDescent="0.3"/>
    <row r="3440" customFormat="1" ht="14.4" customHeight="1" x14ac:dyDescent="0.3"/>
    <row r="3441" customFormat="1" ht="14.4" customHeight="1" x14ac:dyDescent="0.3"/>
    <row r="3442" customFormat="1" ht="14.4" customHeight="1" x14ac:dyDescent="0.3"/>
    <row r="3443" customFormat="1" ht="14.4" customHeight="1" x14ac:dyDescent="0.3"/>
    <row r="3444" customFormat="1" ht="14.4" customHeight="1" x14ac:dyDescent="0.3"/>
    <row r="3445" customFormat="1" ht="14.4" customHeight="1" x14ac:dyDescent="0.3"/>
    <row r="3446" customFormat="1" ht="14.4" customHeight="1" x14ac:dyDescent="0.3"/>
    <row r="3447" customFormat="1" ht="14.4" customHeight="1" x14ac:dyDescent="0.3"/>
    <row r="3448" customFormat="1" ht="14.4" customHeight="1" x14ac:dyDescent="0.3"/>
    <row r="3449" customFormat="1" ht="14.4" customHeight="1" x14ac:dyDescent="0.3"/>
    <row r="3450" customFormat="1" ht="14.4" customHeight="1" x14ac:dyDescent="0.3"/>
    <row r="3451" customFormat="1" ht="14.4" customHeight="1" x14ac:dyDescent="0.3"/>
    <row r="3452" customFormat="1" ht="14.4" customHeight="1" x14ac:dyDescent="0.3"/>
    <row r="3453" customFormat="1" ht="14.4" customHeight="1" x14ac:dyDescent="0.3"/>
    <row r="3454" customFormat="1" ht="14.4" customHeight="1" x14ac:dyDescent="0.3"/>
    <row r="3455" customFormat="1" ht="14.4" customHeight="1" x14ac:dyDescent="0.3"/>
    <row r="3456" customFormat="1" ht="14.4" customHeight="1" x14ac:dyDescent="0.3"/>
    <row r="3457" customFormat="1" ht="14.4" customHeight="1" x14ac:dyDescent="0.3"/>
    <row r="3458" customFormat="1" ht="14.4" customHeight="1" x14ac:dyDescent="0.3"/>
    <row r="3459" customFormat="1" ht="14.4" customHeight="1" x14ac:dyDescent="0.3"/>
    <row r="3460" customFormat="1" ht="14.4" customHeight="1" x14ac:dyDescent="0.3"/>
    <row r="3461" customFormat="1" ht="14.4" customHeight="1" x14ac:dyDescent="0.3"/>
    <row r="3462" customFormat="1" ht="14.4" customHeight="1" x14ac:dyDescent="0.3"/>
    <row r="3463" customFormat="1" ht="14.4" customHeight="1" x14ac:dyDescent="0.3"/>
    <row r="3464" customFormat="1" ht="14.4" customHeight="1" x14ac:dyDescent="0.3"/>
    <row r="3465" customFormat="1" ht="14.4" customHeight="1" x14ac:dyDescent="0.3"/>
    <row r="3466" customFormat="1" ht="14.4" customHeight="1" x14ac:dyDescent="0.3"/>
    <row r="3467" customFormat="1" ht="14.4" customHeight="1" x14ac:dyDescent="0.3"/>
    <row r="3468" customFormat="1" ht="14.4" customHeight="1" x14ac:dyDescent="0.3"/>
    <row r="3469" customFormat="1" ht="14.4" customHeight="1" x14ac:dyDescent="0.3"/>
    <row r="3470" customFormat="1" ht="14.4" customHeight="1" x14ac:dyDescent="0.3"/>
    <row r="3471" customFormat="1" ht="14.4" customHeight="1" x14ac:dyDescent="0.3"/>
    <row r="3472" customFormat="1" ht="14.4" customHeight="1" x14ac:dyDescent="0.3"/>
    <row r="3473" customFormat="1" ht="14.4" customHeight="1" x14ac:dyDescent="0.3"/>
    <row r="3474" customFormat="1" ht="14.4" customHeight="1" x14ac:dyDescent="0.3"/>
    <row r="3475" customFormat="1" ht="14.4" customHeight="1" x14ac:dyDescent="0.3"/>
    <row r="3476" customFormat="1" ht="14.4" customHeight="1" x14ac:dyDescent="0.3"/>
    <row r="3477" customFormat="1" ht="14.4" customHeight="1" x14ac:dyDescent="0.3"/>
    <row r="3478" customFormat="1" ht="14.4" customHeight="1" x14ac:dyDescent="0.3"/>
    <row r="3479" customFormat="1" ht="14.4" customHeight="1" x14ac:dyDescent="0.3"/>
    <row r="3480" customFormat="1" ht="14.4" customHeight="1" x14ac:dyDescent="0.3"/>
    <row r="3481" customFormat="1" ht="14.4" customHeight="1" x14ac:dyDescent="0.3"/>
    <row r="3482" customFormat="1" ht="14.4" customHeight="1" x14ac:dyDescent="0.3"/>
    <row r="3483" customFormat="1" ht="14.4" customHeight="1" x14ac:dyDescent="0.3"/>
    <row r="3484" customFormat="1" ht="14.4" customHeight="1" x14ac:dyDescent="0.3"/>
    <row r="3485" customFormat="1" ht="14.4" customHeight="1" x14ac:dyDescent="0.3"/>
    <row r="3486" customFormat="1" ht="14.4" customHeight="1" x14ac:dyDescent="0.3"/>
    <row r="3487" customFormat="1" ht="14.4" customHeight="1" x14ac:dyDescent="0.3"/>
    <row r="3488" customFormat="1" ht="14.4" customHeight="1" x14ac:dyDescent="0.3"/>
    <row r="3489" customFormat="1" ht="14.4" customHeight="1" x14ac:dyDescent="0.3"/>
    <row r="3490" customFormat="1" ht="14.4" customHeight="1" x14ac:dyDescent="0.3"/>
    <row r="3491" customFormat="1" ht="14.4" customHeight="1" x14ac:dyDescent="0.3"/>
    <row r="3492" customFormat="1" ht="14.4" customHeight="1" x14ac:dyDescent="0.3"/>
    <row r="3493" customFormat="1" ht="14.4" customHeight="1" x14ac:dyDescent="0.3"/>
    <row r="3494" customFormat="1" ht="14.4" customHeight="1" x14ac:dyDescent="0.3"/>
    <row r="3495" customFormat="1" ht="14.4" customHeight="1" x14ac:dyDescent="0.3"/>
    <row r="3496" customFormat="1" ht="14.4" customHeight="1" x14ac:dyDescent="0.3"/>
    <row r="3497" customFormat="1" ht="14.4" customHeight="1" x14ac:dyDescent="0.3"/>
    <row r="3498" customFormat="1" ht="14.4" customHeight="1" x14ac:dyDescent="0.3"/>
    <row r="3499" customFormat="1" ht="14.4" customHeight="1" x14ac:dyDescent="0.3"/>
    <row r="3500" customFormat="1" ht="14.4" customHeight="1" x14ac:dyDescent="0.3"/>
    <row r="3501" customFormat="1" ht="14.4" customHeight="1" x14ac:dyDescent="0.3"/>
    <row r="3502" customFormat="1" ht="14.4" customHeight="1" x14ac:dyDescent="0.3"/>
    <row r="3503" customFormat="1" ht="14.4" customHeight="1" x14ac:dyDescent="0.3"/>
    <row r="3504" customFormat="1" ht="14.4" customHeight="1" x14ac:dyDescent="0.3"/>
    <row r="3505" customFormat="1" ht="14.4" customHeight="1" x14ac:dyDescent="0.3"/>
    <row r="3506" customFormat="1" ht="14.4" customHeight="1" x14ac:dyDescent="0.3"/>
    <row r="3507" customFormat="1" ht="14.4" customHeight="1" x14ac:dyDescent="0.3"/>
    <row r="3508" customFormat="1" ht="14.4" customHeight="1" x14ac:dyDescent="0.3"/>
    <row r="3509" customFormat="1" ht="14.4" customHeight="1" x14ac:dyDescent="0.3"/>
    <row r="3510" customFormat="1" ht="14.4" customHeight="1" x14ac:dyDescent="0.3"/>
    <row r="3511" customFormat="1" ht="14.4" customHeight="1" x14ac:dyDescent="0.3"/>
    <row r="3512" customFormat="1" ht="14.4" customHeight="1" x14ac:dyDescent="0.3"/>
    <row r="3513" customFormat="1" ht="14.4" customHeight="1" x14ac:dyDescent="0.3"/>
    <row r="3514" customFormat="1" ht="14.4" customHeight="1" x14ac:dyDescent="0.3"/>
    <row r="3515" customFormat="1" ht="14.4" customHeight="1" x14ac:dyDescent="0.3"/>
    <row r="3516" customFormat="1" ht="14.4" customHeight="1" x14ac:dyDescent="0.3"/>
    <row r="3517" customFormat="1" ht="14.4" customHeight="1" x14ac:dyDescent="0.3"/>
    <row r="3518" customFormat="1" ht="14.4" customHeight="1" x14ac:dyDescent="0.3"/>
    <row r="3519" customFormat="1" ht="14.4" customHeight="1" x14ac:dyDescent="0.3"/>
    <row r="3520" customFormat="1" ht="14.4" customHeight="1" x14ac:dyDescent="0.3"/>
    <row r="3521" customFormat="1" ht="14.4" customHeight="1" x14ac:dyDescent="0.3"/>
    <row r="3522" customFormat="1" ht="14.4" customHeight="1" x14ac:dyDescent="0.3"/>
    <row r="3523" customFormat="1" ht="14.4" customHeight="1" x14ac:dyDescent="0.3"/>
    <row r="3524" customFormat="1" ht="14.4" customHeight="1" x14ac:dyDescent="0.3"/>
    <row r="3525" customFormat="1" ht="14.4" customHeight="1" x14ac:dyDescent="0.3"/>
    <row r="3526" customFormat="1" ht="14.4" customHeight="1" x14ac:dyDescent="0.3"/>
    <row r="3527" customFormat="1" ht="14.4" customHeight="1" x14ac:dyDescent="0.3"/>
    <row r="3528" customFormat="1" ht="14.4" customHeight="1" x14ac:dyDescent="0.3"/>
    <row r="3529" customFormat="1" ht="14.4" customHeight="1" x14ac:dyDescent="0.3"/>
    <row r="3530" customFormat="1" ht="14.4" customHeight="1" x14ac:dyDescent="0.3"/>
    <row r="3531" customFormat="1" ht="14.4" customHeight="1" x14ac:dyDescent="0.3"/>
    <row r="3532" customFormat="1" ht="14.4" customHeight="1" x14ac:dyDescent="0.3"/>
    <row r="3533" customFormat="1" ht="14.4" customHeight="1" x14ac:dyDescent="0.3"/>
    <row r="3534" customFormat="1" ht="14.4" customHeight="1" x14ac:dyDescent="0.3"/>
    <row r="3535" customFormat="1" ht="14.4" customHeight="1" x14ac:dyDescent="0.3"/>
    <row r="3536" customFormat="1" ht="14.4" customHeight="1" x14ac:dyDescent="0.3"/>
    <row r="3537" customFormat="1" ht="14.4" customHeight="1" x14ac:dyDescent="0.3"/>
    <row r="3538" customFormat="1" ht="14.4" customHeight="1" x14ac:dyDescent="0.3"/>
    <row r="3539" customFormat="1" ht="14.4" customHeight="1" x14ac:dyDescent="0.3"/>
    <row r="3540" customFormat="1" ht="14.4" customHeight="1" x14ac:dyDescent="0.3"/>
    <row r="3541" customFormat="1" ht="14.4" customHeight="1" x14ac:dyDescent="0.3"/>
    <row r="3542" customFormat="1" ht="14.4" customHeight="1" x14ac:dyDescent="0.3"/>
    <row r="3543" customFormat="1" ht="14.4" customHeight="1" x14ac:dyDescent="0.3"/>
    <row r="3544" customFormat="1" ht="14.4" customHeight="1" x14ac:dyDescent="0.3"/>
    <row r="3545" customFormat="1" ht="14.4" customHeight="1" x14ac:dyDescent="0.3"/>
    <row r="3546" customFormat="1" ht="14.4" customHeight="1" x14ac:dyDescent="0.3"/>
    <row r="3547" customFormat="1" ht="14.4" customHeight="1" x14ac:dyDescent="0.3"/>
    <row r="3548" customFormat="1" ht="14.4" customHeight="1" x14ac:dyDescent="0.3"/>
    <row r="3549" customFormat="1" ht="14.4" customHeight="1" x14ac:dyDescent="0.3"/>
    <row r="3550" customFormat="1" ht="14.4" customHeight="1" x14ac:dyDescent="0.3"/>
    <row r="3551" customFormat="1" ht="14.4" customHeight="1" x14ac:dyDescent="0.3"/>
    <row r="3552" customFormat="1" ht="14.4" customHeight="1" x14ac:dyDescent="0.3"/>
    <row r="3553" customFormat="1" ht="14.4" customHeight="1" x14ac:dyDescent="0.3"/>
    <row r="3554" customFormat="1" ht="14.4" customHeight="1" x14ac:dyDescent="0.3"/>
    <row r="3555" customFormat="1" ht="14.4" customHeight="1" x14ac:dyDescent="0.3"/>
    <row r="3556" customFormat="1" ht="14.4" customHeight="1" x14ac:dyDescent="0.3"/>
    <row r="3557" customFormat="1" ht="14.4" customHeight="1" x14ac:dyDescent="0.3"/>
    <row r="3558" customFormat="1" ht="14.4" customHeight="1" x14ac:dyDescent="0.3"/>
    <row r="3559" customFormat="1" ht="14.4" customHeight="1" x14ac:dyDescent="0.3"/>
    <row r="3560" customFormat="1" ht="14.4" customHeight="1" x14ac:dyDescent="0.3"/>
    <row r="3561" customFormat="1" ht="14.4" customHeight="1" x14ac:dyDescent="0.3"/>
    <row r="3562" customFormat="1" ht="14.4" customHeight="1" x14ac:dyDescent="0.3"/>
    <row r="3563" customFormat="1" ht="14.4" customHeight="1" x14ac:dyDescent="0.3"/>
    <row r="3564" customFormat="1" ht="14.4" customHeight="1" x14ac:dyDescent="0.3"/>
    <row r="3565" customFormat="1" ht="14.4" customHeight="1" x14ac:dyDescent="0.3"/>
    <row r="3566" customFormat="1" ht="14.4" customHeight="1" x14ac:dyDescent="0.3"/>
    <row r="3567" customFormat="1" ht="14.4" customHeight="1" x14ac:dyDescent="0.3"/>
    <row r="3568" customFormat="1" ht="14.4" customHeight="1" x14ac:dyDescent="0.3"/>
    <row r="3569" customFormat="1" ht="14.4" customHeight="1" x14ac:dyDescent="0.3"/>
    <row r="3570" customFormat="1" ht="14.4" customHeight="1" x14ac:dyDescent="0.3"/>
    <row r="3571" customFormat="1" ht="14.4" customHeight="1" x14ac:dyDescent="0.3"/>
    <row r="3572" customFormat="1" ht="14.4" customHeight="1" x14ac:dyDescent="0.3"/>
    <row r="3573" customFormat="1" ht="14.4" customHeight="1" x14ac:dyDescent="0.3"/>
    <row r="3574" customFormat="1" ht="14.4" customHeight="1" x14ac:dyDescent="0.3"/>
    <row r="3575" customFormat="1" ht="14.4" customHeight="1" x14ac:dyDescent="0.3"/>
    <row r="3576" customFormat="1" ht="14.4" customHeight="1" x14ac:dyDescent="0.3"/>
    <row r="3577" customFormat="1" ht="14.4" customHeight="1" x14ac:dyDescent="0.3"/>
    <row r="3578" customFormat="1" ht="14.4" customHeight="1" x14ac:dyDescent="0.3"/>
    <row r="3579" customFormat="1" ht="14.4" customHeight="1" x14ac:dyDescent="0.3"/>
    <row r="3580" customFormat="1" ht="14.4" customHeight="1" x14ac:dyDescent="0.3"/>
    <row r="3581" customFormat="1" ht="14.4" customHeight="1" x14ac:dyDescent="0.3"/>
    <row r="3582" customFormat="1" ht="14.4" customHeight="1" x14ac:dyDescent="0.3"/>
    <row r="3583" customFormat="1" ht="14.4" customHeight="1" x14ac:dyDescent="0.3"/>
    <row r="3584" customFormat="1" ht="14.4" customHeight="1" x14ac:dyDescent="0.3"/>
    <row r="3585" customFormat="1" ht="14.4" customHeight="1" x14ac:dyDescent="0.3"/>
    <row r="3586" customFormat="1" ht="14.4" customHeight="1" x14ac:dyDescent="0.3"/>
    <row r="3587" customFormat="1" ht="14.4" customHeight="1" x14ac:dyDescent="0.3"/>
    <row r="3588" customFormat="1" ht="14.4" customHeight="1" x14ac:dyDescent="0.3"/>
    <row r="3589" customFormat="1" ht="14.4" customHeight="1" x14ac:dyDescent="0.3"/>
    <row r="3590" customFormat="1" ht="14.4" customHeight="1" x14ac:dyDescent="0.3"/>
    <row r="3591" customFormat="1" ht="14.4" customHeight="1" x14ac:dyDescent="0.3"/>
    <row r="3592" customFormat="1" ht="14.4" customHeight="1" x14ac:dyDescent="0.3"/>
    <row r="3593" customFormat="1" ht="14.4" customHeight="1" x14ac:dyDescent="0.3"/>
    <row r="3594" customFormat="1" ht="14.4" customHeight="1" x14ac:dyDescent="0.3"/>
    <row r="3595" customFormat="1" ht="14.4" customHeight="1" x14ac:dyDescent="0.3"/>
    <row r="3596" customFormat="1" ht="14.4" customHeight="1" x14ac:dyDescent="0.3"/>
    <row r="3597" customFormat="1" ht="14.4" customHeight="1" x14ac:dyDescent="0.3"/>
    <row r="3598" customFormat="1" ht="14.4" customHeight="1" x14ac:dyDescent="0.3"/>
    <row r="3599" customFormat="1" ht="14.4" customHeight="1" x14ac:dyDescent="0.3"/>
    <row r="3600" customFormat="1" ht="14.4" customHeight="1" x14ac:dyDescent="0.3"/>
    <row r="3601" customFormat="1" ht="14.4" customHeight="1" x14ac:dyDescent="0.3"/>
    <row r="3602" customFormat="1" ht="14.4" customHeight="1" x14ac:dyDescent="0.3"/>
    <row r="3603" customFormat="1" ht="14.4" customHeight="1" x14ac:dyDescent="0.3"/>
    <row r="3604" customFormat="1" ht="14.4" customHeight="1" x14ac:dyDescent="0.3"/>
    <row r="3605" customFormat="1" ht="14.4" customHeight="1" x14ac:dyDescent="0.3"/>
    <row r="3606" customFormat="1" ht="14.4" customHeight="1" x14ac:dyDescent="0.3"/>
    <row r="3607" customFormat="1" ht="14.4" customHeight="1" x14ac:dyDescent="0.3"/>
    <row r="3608" customFormat="1" ht="14.4" customHeight="1" x14ac:dyDescent="0.3"/>
    <row r="3609" customFormat="1" ht="14.4" customHeight="1" x14ac:dyDescent="0.3"/>
    <row r="3610" customFormat="1" ht="14.4" customHeight="1" x14ac:dyDescent="0.3"/>
    <row r="3611" customFormat="1" ht="14.4" customHeight="1" x14ac:dyDescent="0.3"/>
    <row r="3612" customFormat="1" ht="14.4" customHeight="1" x14ac:dyDescent="0.3"/>
    <row r="3613" customFormat="1" ht="14.4" customHeight="1" x14ac:dyDescent="0.3"/>
    <row r="3614" customFormat="1" ht="14.4" customHeight="1" x14ac:dyDescent="0.3"/>
    <row r="3615" customFormat="1" ht="14.4" customHeight="1" x14ac:dyDescent="0.3"/>
    <row r="3616" customFormat="1" ht="14.4" customHeight="1" x14ac:dyDescent="0.3"/>
    <row r="3617" customFormat="1" ht="14.4" customHeight="1" x14ac:dyDescent="0.3"/>
    <row r="3618" customFormat="1" ht="14.4" customHeight="1" x14ac:dyDescent="0.3"/>
    <row r="3619" customFormat="1" ht="14.4" customHeight="1" x14ac:dyDescent="0.3"/>
    <row r="3620" customFormat="1" ht="14.4" customHeight="1" x14ac:dyDescent="0.3"/>
    <row r="3621" customFormat="1" ht="14.4" customHeight="1" x14ac:dyDescent="0.3"/>
    <row r="3622" customFormat="1" ht="14.4" customHeight="1" x14ac:dyDescent="0.3"/>
    <row r="3623" customFormat="1" ht="14.4" customHeight="1" x14ac:dyDescent="0.3"/>
    <row r="3624" customFormat="1" ht="14.4" customHeight="1" x14ac:dyDescent="0.3"/>
    <row r="3625" customFormat="1" ht="14.4" customHeight="1" x14ac:dyDescent="0.3"/>
    <row r="3626" customFormat="1" ht="14.4" customHeight="1" x14ac:dyDescent="0.3"/>
    <row r="3627" customFormat="1" ht="14.4" customHeight="1" x14ac:dyDescent="0.3"/>
    <row r="3628" customFormat="1" ht="14.4" customHeight="1" x14ac:dyDescent="0.3"/>
    <row r="3629" customFormat="1" ht="14.4" customHeight="1" x14ac:dyDescent="0.3"/>
    <row r="3630" customFormat="1" ht="14.4" customHeight="1" x14ac:dyDescent="0.3"/>
    <row r="3631" customFormat="1" ht="14.4" customHeight="1" x14ac:dyDescent="0.3"/>
    <row r="3632" customFormat="1" ht="14.4" customHeight="1" x14ac:dyDescent="0.3"/>
    <row r="3633" customFormat="1" ht="14.4" customHeight="1" x14ac:dyDescent="0.3"/>
    <row r="3634" customFormat="1" ht="14.4" customHeight="1" x14ac:dyDescent="0.3"/>
    <row r="3635" customFormat="1" ht="14.4" customHeight="1" x14ac:dyDescent="0.3"/>
    <row r="3636" customFormat="1" ht="14.4" customHeight="1" x14ac:dyDescent="0.3"/>
    <row r="3637" customFormat="1" ht="14.4" customHeight="1" x14ac:dyDescent="0.3"/>
    <row r="3638" customFormat="1" ht="14.4" customHeight="1" x14ac:dyDescent="0.3"/>
    <row r="3639" customFormat="1" ht="14.4" customHeight="1" x14ac:dyDescent="0.3"/>
    <row r="3640" customFormat="1" ht="14.4" customHeight="1" x14ac:dyDescent="0.3"/>
    <row r="3641" customFormat="1" ht="14.4" customHeight="1" x14ac:dyDescent="0.3"/>
    <row r="3642" customFormat="1" ht="14.4" customHeight="1" x14ac:dyDescent="0.3"/>
    <row r="3643" customFormat="1" ht="14.4" customHeight="1" x14ac:dyDescent="0.3"/>
    <row r="3644" customFormat="1" ht="14.4" customHeight="1" x14ac:dyDescent="0.3"/>
    <row r="3645" customFormat="1" ht="14.4" customHeight="1" x14ac:dyDescent="0.3"/>
    <row r="3646" customFormat="1" ht="14.4" customHeight="1" x14ac:dyDescent="0.3"/>
    <row r="3647" customFormat="1" ht="14.4" customHeight="1" x14ac:dyDescent="0.3"/>
    <row r="3648" customFormat="1" ht="14.4" customHeight="1" x14ac:dyDescent="0.3"/>
    <row r="3649" customFormat="1" ht="14.4" customHeight="1" x14ac:dyDescent="0.3"/>
    <row r="3650" customFormat="1" ht="14.4" customHeight="1" x14ac:dyDescent="0.3"/>
    <row r="3651" customFormat="1" ht="14.4" customHeight="1" x14ac:dyDescent="0.3"/>
    <row r="3652" customFormat="1" ht="14.4" customHeight="1" x14ac:dyDescent="0.3"/>
    <row r="3653" customFormat="1" ht="14.4" customHeight="1" x14ac:dyDescent="0.3"/>
    <row r="3654" customFormat="1" ht="14.4" customHeight="1" x14ac:dyDescent="0.3"/>
    <row r="3655" customFormat="1" ht="14.4" customHeight="1" x14ac:dyDescent="0.3"/>
    <row r="3656" customFormat="1" ht="14.4" customHeight="1" x14ac:dyDescent="0.3"/>
    <row r="3657" customFormat="1" ht="14.4" customHeight="1" x14ac:dyDescent="0.3"/>
    <row r="3658" customFormat="1" ht="14.4" customHeight="1" x14ac:dyDescent="0.3"/>
    <row r="3659" customFormat="1" ht="14.4" customHeight="1" x14ac:dyDescent="0.3"/>
    <row r="3660" customFormat="1" ht="14.4" customHeight="1" x14ac:dyDescent="0.3"/>
    <row r="3661" customFormat="1" ht="14.4" customHeight="1" x14ac:dyDescent="0.3"/>
    <row r="3662" customFormat="1" ht="14.4" customHeight="1" x14ac:dyDescent="0.3"/>
    <row r="3663" customFormat="1" ht="14.4" customHeight="1" x14ac:dyDescent="0.3"/>
    <row r="3664" customFormat="1" ht="14.4" customHeight="1" x14ac:dyDescent="0.3"/>
    <row r="3665" customFormat="1" ht="14.4" customHeight="1" x14ac:dyDescent="0.3"/>
    <row r="3666" customFormat="1" ht="14.4" customHeight="1" x14ac:dyDescent="0.3"/>
    <row r="3667" customFormat="1" ht="14.4" customHeight="1" x14ac:dyDescent="0.3"/>
    <row r="3668" customFormat="1" ht="14.4" customHeight="1" x14ac:dyDescent="0.3"/>
    <row r="3669" customFormat="1" ht="14.4" customHeight="1" x14ac:dyDescent="0.3"/>
    <row r="3670" customFormat="1" ht="14.4" customHeight="1" x14ac:dyDescent="0.3"/>
    <row r="3671" customFormat="1" ht="14.4" customHeight="1" x14ac:dyDescent="0.3"/>
    <row r="3672" customFormat="1" ht="14.4" customHeight="1" x14ac:dyDescent="0.3"/>
    <row r="3673" customFormat="1" ht="14.4" customHeight="1" x14ac:dyDescent="0.3"/>
    <row r="3674" customFormat="1" ht="14.4" customHeight="1" x14ac:dyDescent="0.3"/>
    <row r="3675" customFormat="1" ht="14.4" customHeight="1" x14ac:dyDescent="0.3"/>
    <row r="3676" customFormat="1" ht="14.4" customHeight="1" x14ac:dyDescent="0.3"/>
    <row r="3677" customFormat="1" ht="14.4" customHeight="1" x14ac:dyDescent="0.3"/>
    <row r="3678" customFormat="1" ht="14.4" customHeight="1" x14ac:dyDescent="0.3"/>
    <row r="3679" customFormat="1" ht="14.4" customHeight="1" x14ac:dyDescent="0.3"/>
    <row r="3680" customFormat="1" ht="14.4" customHeight="1" x14ac:dyDescent="0.3"/>
    <row r="3681" customFormat="1" ht="14.4" customHeight="1" x14ac:dyDescent="0.3"/>
    <row r="3682" customFormat="1" ht="14.4" customHeight="1" x14ac:dyDescent="0.3"/>
    <row r="3683" customFormat="1" ht="14.4" customHeight="1" x14ac:dyDescent="0.3"/>
    <row r="3684" customFormat="1" ht="14.4" customHeight="1" x14ac:dyDescent="0.3"/>
    <row r="3685" customFormat="1" ht="14.4" customHeight="1" x14ac:dyDescent="0.3"/>
    <row r="3686" customFormat="1" ht="14.4" customHeight="1" x14ac:dyDescent="0.3"/>
    <row r="3687" customFormat="1" ht="14.4" customHeight="1" x14ac:dyDescent="0.3"/>
    <row r="3688" customFormat="1" ht="14.4" customHeight="1" x14ac:dyDescent="0.3"/>
    <row r="3689" customFormat="1" ht="14.4" customHeight="1" x14ac:dyDescent="0.3"/>
    <row r="3690" customFormat="1" ht="14.4" customHeight="1" x14ac:dyDescent="0.3"/>
    <row r="3691" customFormat="1" ht="14.4" customHeight="1" x14ac:dyDescent="0.3"/>
    <row r="3692" customFormat="1" ht="14.4" customHeight="1" x14ac:dyDescent="0.3"/>
    <row r="3693" customFormat="1" ht="14.4" customHeight="1" x14ac:dyDescent="0.3"/>
    <row r="3694" customFormat="1" ht="14.4" customHeight="1" x14ac:dyDescent="0.3"/>
    <row r="3695" customFormat="1" ht="14.4" customHeight="1" x14ac:dyDescent="0.3"/>
    <row r="3696" customFormat="1" ht="14.4" customHeight="1" x14ac:dyDescent="0.3"/>
    <row r="3697" customFormat="1" ht="14.4" customHeight="1" x14ac:dyDescent="0.3"/>
    <row r="3698" customFormat="1" ht="14.4" customHeight="1" x14ac:dyDescent="0.3"/>
    <row r="3699" customFormat="1" ht="14.4" customHeight="1" x14ac:dyDescent="0.3"/>
    <row r="3700" customFormat="1" ht="14.4" customHeight="1" x14ac:dyDescent="0.3"/>
    <row r="3701" customFormat="1" ht="14.4" customHeight="1" x14ac:dyDescent="0.3"/>
    <row r="3702" customFormat="1" ht="14.4" customHeight="1" x14ac:dyDescent="0.3"/>
    <row r="3703" customFormat="1" ht="14.4" customHeight="1" x14ac:dyDescent="0.3"/>
    <row r="3704" customFormat="1" ht="14.4" customHeight="1" x14ac:dyDescent="0.3"/>
    <row r="3705" customFormat="1" ht="14.4" customHeight="1" x14ac:dyDescent="0.3"/>
    <row r="3706" customFormat="1" ht="14.4" customHeight="1" x14ac:dyDescent="0.3"/>
    <row r="3707" customFormat="1" ht="14.4" customHeight="1" x14ac:dyDescent="0.3"/>
    <row r="3708" customFormat="1" ht="14.4" customHeight="1" x14ac:dyDescent="0.3"/>
    <row r="3709" customFormat="1" ht="14.4" customHeight="1" x14ac:dyDescent="0.3"/>
    <row r="3710" customFormat="1" ht="14.4" customHeight="1" x14ac:dyDescent="0.3"/>
    <row r="3711" customFormat="1" ht="14.4" customHeight="1" x14ac:dyDescent="0.3"/>
    <row r="3712" customFormat="1" ht="14.4" customHeight="1" x14ac:dyDescent="0.3"/>
    <row r="3713" customFormat="1" ht="14.4" customHeight="1" x14ac:dyDescent="0.3"/>
    <row r="3714" customFormat="1" ht="14.4" customHeight="1" x14ac:dyDescent="0.3"/>
    <row r="3715" customFormat="1" ht="14.4" customHeight="1" x14ac:dyDescent="0.3"/>
    <row r="3716" customFormat="1" ht="14.4" customHeight="1" x14ac:dyDescent="0.3"/>
    <row r="3717" customFormat="1" ht="14.4" customHeight="1" x14ac:dyDescent="0.3"/>
    <row r="3718" customFormat="1" ht="14.4" customHeight="1" x14ac:dyDescent="0.3"/>
    <row r="3719" customFormat="1" ht="14.4" customHeight="1" x14ac:dyDescent="0.3"/>
    <row r="3720" customFormat="1" ht="14.4" customHeight="1" x14ac:dyDescent="0.3"/>
    <row r="3721" customFormat="1" ht="14.4" customHeight="1" x14ac:dyDescent="0.3"/>
    <row r="3722" customFormat="1" ht="14.4" customHeight="1" x14ac:dyDescent="0.3"/>
    <row r="3723" customFormat="1" ht="14.4" customHeight="1" x14ac:dyDescent="0.3"/>
    <row r="3724" customFormat="1" ht="14.4" customHeight="1" x14ac:dyDescent="0.3"/>
    <row r="3725" customFormat="1" ht="14.4" customHeight="1" x14ac:dyDescent="0.3"/>
    <row r="3726" customFormat="1" ht="14.4" customHeight="1" x14ac:dyDescent="0.3"/>
    <row r="3727" customFormat="1" ht="14.4" customHeight="1" x14ac:dyDescent="0.3"/>
    <row r="3728" customFormat="1" ht="14.4" customHeight="1" x14ac:dyDescent="0.3"/>
    <row r="3729" customFormat="1" ht="14.4" customHeight="1" x14ac:dyDescent="0.3"/>
    <row r="3730" customFormat="1" ht="14.4" customHeight="1" x14ac:dyDescent="0.3"/>
    <row r="3731" customFormat="1" ht="14.4" customHeight="1" x14ac:dyDescent="0.3"/>
    <row r="3732" customFormat="1" ht="14.4" customHeight="1" x14ac:dyDescent="0.3"/>
    <row r="3733" customFormat="1" ht="14.4" customHeight="1" x14ac:dyDescent="0.3"/>
    <row r="3734" customFormat="1" ht="14.4" customHeight="1" x14ac:dyDescent="0.3"/>
    <row r="3735" customFormat="1" ht="14.4" customHeight="1" x14ac:dyDescent="0.3"/>
    <row r="3736" customFormat="1" ht="14.4" customHeight="1" x14ac:dyDescent="0.3"/>
    <row r="3737" customFormat="1" ht="14.4" customHeight="1" x14ac:dyDescent="0.3"/>
    <row r="3738" customFormat="1" ht="14.4" customHeight="1" x14ac:dyDescent="0.3"/>
    <row r="3739" customFormat="1" ht="14.4" customHeight="1" x14ac:dyDescent="0.3"/>
    <row r="3740" customFormat="1" ht="14.4" customHeight="1" x14ac:dyDescent="0.3"/>
    <row r="3741" customFormat="1" ht="14.4" customHeight="1" x14ac:dyDescent="0.3"/>
    <row r="3742" customFormat="1" ht="14.4" customHeight="1" x14ac:dyDescent="0.3"/>
    <row r="3743" customFormat="1" ht="14.4" customHeight="1" x14ac:dyDescent="0.3"/>
    <row r="3744" customFormat="1" ht="14.4" customHeight="1" x14ac:dyDescent="0.3"/>
    <row r="3745" customFormat="1" ht="14.4" customHeight="1" x14ac:dyDescent="0.3"/>
    <row r="3746" customFormat="1" ht="14.4" customHeight="1" x14ac:dyDescent="0.3"/>
    <row r="3747" customFormat="1" ht="14.4" customHeight="1" x14ac:dyDescent="0.3"/>
    <row r="3748" customFormat="1" ht="14.4" customHeight="1" x14ac:dyDescent="0.3"/>
    <row r="3749" customFormat="1" ht="14.4" customHeight="1" x14ac:dyDescent="0.3"/>
    <row r="3750" customFormat="1" ht="14.4" customHeight="1" x14ac:dyDescent="0.3"/>
    <row r="3751" customFormat="1" ht="14.4" customHeight="1" x14ac:dyDescent="0.3"/>
    <row r="3752" customFormat="1" ht="14.4" customHeight="1" x14ac:dyDescent="0.3"/>
    <row r="3753" customFormat="1" ht="14.4" customHeight="1" x14ac:dyDescent="0.3"/>
    <row r="3754" customFormat="1" ht="14.4" customHeight="1" x14ac:dyDescent="0.3"/>
    <row r="3755" customFormat="1" ht="14.4" customHeight="1" x14ac:dyDescent="0.3"/>
    <row r="3756" customFormat="1" ht="14.4" customHeight="1" x14ac:dyDescent="0.3"/>
    <row r="3757" customFormat="1" ht="14.4" customHeight="1" x14ac:dyDescent="0.3"/>
    <row r="3758" customFormat="1" ht="14.4" customHeight="1" x14ac:dyDescent="0.3"/>
    <row r="3759" customFormat="1" ht="14.4" customHeight="1" x14ac:dyDescent="0.3"/>
    <row r="3760" customFormat="1" ht="14.4" customHeight="1" x14ac:dyDescent="0.3"/>
    <row r="3761" customFormat="1" ht="14.4" customHeight="1" x14ac:dyDescent="0.3"/>
    <row r="3762" customFormat="1" ht="14.4" customHeight="1" x14ac:dyDescent="0.3"/>
    <row r="3763" customFormat="1" ht="14.4" customHeight="1" x14ac:dyDescent="0.3"/>
    <row r="3764" customFormat="1" ht="14.4" customHeight="1" x14ac:dyDescent="0.3"/>
    <row r="3765" customFormat="1" ht="14.4" customHeight="1" x14ac:dyDescent="0.3"/>
    <row r="3766" customFormat="1" ht="14.4" customHeight="1" x14ac:dyDescent="0.3"/>
    <row r="3767" customFormat="1" ht="14.4" customHeight="1" x14ac:dyDescent="0.3"/>
    <row r="3768" customFormat="1" ht="14.4" customHeight="1" x14ac:dyDescent="0.3"/>
    <row r="3769" customFormat="1" ht="14.4" customHeight="1" x14ac:dyDescent="0.3"/>
    <row r="3770" customFormat="1" ht="14.4" customHeight="1" x14ac:dyDescent="0.3"/>
    <row r="3771" customFormat="1" ht="14.4" customHeight="1" x14ac:dyDescent="0.3"/>
    <row r="3772" customFormat="1" ht="14.4" customHeight="1" x14ac:dyDescent="0.3"/>
    <row r="3773" customFormat="1" ht="14.4" customHeight="1" x14ac:dyDescent="0.3"/>
    <row r="3774" customFormat="1" ht="14.4" customHeight="1" x14ac:dyDescent="0.3"/>
    <row r="3775" customFormat="1" ht="14.4" customHeight="1" x14ac:dyDescent="0.3"/>
    <row r="3776" customFormat="1" ht="14.4" customHeight="1" x14ac:dyDescent="0.3"/>
    <row r="3777" customFormat="1" ht="14.4" customHeight="1" x14ac:dyDescent="0.3"/>
    <row r="3778" customFormat="1" ht="14.4" customHeight="1" x14ac:dyDescent="0.3"/>
    <row r="3779" customFormat="1" ht="14.4" customHeight="1" x14ac:dyDescent="0.3"/>
    <row r="3780" customFormat="1" ht="14.4" customHeight="1" x14ac:dyDescent="0.3"/>
    <row r="3781" customFormat="1" ht="14.4" customHeight="1" x14ac:dyDescent="0.3"/>
    <row r="3782" customFormat="1" ht="14.4" customHeight="1" x14ac:dyDescent="0.3"/>
    <row r="3783" customFormat="1" ht="14.4" customHeight="1" x14ac:dyDescent="0.3"/>
    <row r="3784" customFormat="1" ht="14.4" customHeight="1" x14ac:dyDescent="0.3"/>
    <row r="3785" customFormat="1" ht="14.4" customHeight="1" x14ac:dyDescent="0.3"/>
    <row r="3786" customFormat="1" ht="14.4" customHeight="1" x14ac:dyDescent="0.3"/>
    <row r="3787" customFormat="1" ht="14.4" customHeight="1" x14ac:dyDescent="0.3"/>
    <row r="3788" customFormat="1" ht="14.4" customHeight="1" x14ac:dyDescent="0.3"/>
    <row r="3789" customFormat="1" ht="14.4" customHeight="1" x14ac:dyDescent="0.3"/>
    <row r="3790" customFormat="1" ht="14.4" customHeight="1" x14ac:dyDescent="0.3"/>
    <row r="3791" customFormat="1" ht="14.4" customHeight="1" x14ac:dyDescent="0.3"/>
    <row r="3792" customFormat="1" ht="14.4" customHeight="1" x14ac:dyDescent="0.3"/>
    <row r="3793" customFormat="1" ht="14.4" customHeight="1" x14ac:dyDescent="0.3"/>
    <row r="3794" customFormat="1" ht="14.4" customHeight="1" x14ac:dyDescent="0.3"/>
    <row r="3795" customFormat="1" ht="14.4" customHeight="1" x14ac:dyDescent="0.3"/>
    <row r="3796" customFormat="1" ht="14.4" customHeight="1" x14ac:dyDescent="0.3"/>
    <row r="3797" customFormat="1" ht="14.4" customHeight="1" x14ac:dyDescent="0.3"/>
    <row r="3798" customFormat="1" ht="14.4" customHeight="1" x14ac:dyDescent="0.3"/>
    <row r="3799" customFormat="1" ht="14.4" customHeight="1" x14ac:dyDescent="0.3"/>
    <row r="3800" customFormat="1" ht="14.4" customHeight="1" x14ac:dyDescent="0.3"/>
    <row r="3801" customFormat="1" ht="14.4" customHeight="1" x14ac:dyDescent="0.3"/>
    <row r="3802" customFormat="1" ht="14.4" customHeight="1" x14ac:dyDescent="0.3"/>
    <row r="3803" customFormat="1" ht="14.4" customHeight="1" x14ac:dyDescent="0.3"/>
    <row r="3804" customFormat="1" ht="14.4" customHeight="1" x14ac:dyDescent="0.3"/>
    <row r="3805" customFormat="1" ht="14.4" customHeight="1" x14ac:dyDescent="0.3"/>
    <row r="3806" customFormat="1" ht="14.4" customHeight="1" x14ac:dyDescent="0.3"/>
    <row r="3807" customFormat="1" ht="14.4" customHeight="1" x14ac:dyDescent="0.3"/>
    <row r="3808" customFormat="1" ht="14.4" customHeight="1" x14ac:dyDescent="0.3"/>
    <row r="3809" customFormat="1" ht="14.4" customHeight="1" x14ac:dyDescent="0.3"/>
    <row r="3810" customFormat="1" ht="14.4" customHeight="1" x14ac:dyDescent="0.3"/>
    <row r="3811" customFormat="1" ht="14.4" customHeight="1" x14ac:dyDescent="0.3"/>
    <row r="3812" customFormat="1" ht="14.4" customHeight="1" x14ac:dyDescent="0.3"/>
    <row r="3813" customFormat="1" ht="14.4" customHeight="1" x14ac:dyDescent="0.3"/>
    <row r="3814" customFormat="1" ht="14.4" customHeight="1" x14ac:dyDescent="0.3"/>
    <row r="3815" customFormat="1" ht="14.4" customHeight="1" x14ac:dyDescent="0.3"/>
    <row r="3816" customFormat="1" ht="14.4" customHeight="1" x14ac:dyDescent="0.3"/>
    <row r="3817" customFormat="1" ht="14.4" customHeight="1" x14ac:dyDescent="0.3"/>
    <row r="3818" customFormat="1" ht="14.4" customHeight="1" x14ac:dyDescent="0.3"/>
    <row r="3819" customFormat="1" ht="14.4" customHeight="1" x14ac:dyDescent="0.3"/>
    <row r="3820" customFormat="1" ht="14.4" customHeight="1" x14ac:dyDescent="0.3"/>
    <row r="3821" customFormat="1" ht="14.4" customHeight="1" x14ac:dyDescent="0.3"/>
    <row r="3822" customFormat="1" ht="14.4" customHeight="1" x14ac:dyDescent="0.3"/>
    <row r="3823" customFormat="1" ht="14.4" customHeight="1" x14ac:dyDescent="0.3"/>
    <row r="3824" customFormat="1" ht="14.4" customHeight="1" x14ac:dyDescent="0.3"/>
    <row r="3825" customFormat="1" ht="14.4" customHeight="1" x14ac:dyDescent="0.3"/>
    <row r="3826" customFormat="1" ht="14.4" customHeight="1" x14ac:dyDescent="0.3"/>
    <row r="3827" customFormat="1" ht="14.4" customHeight="1" x14ac:dyDescent="0.3"/>
    <row r="3828" customFormat="1" ht="14.4" customHeight="1" x14ac:dyDescent="0.3"/>
    <row r="3829" customFormat="1" ht="14.4" customHeight="1" x14ac:dyDescent="0.3"/>
    <row r="3830" customFormat="1" ht="14.4" customHeight="1" x14ac:dyDescent="0.3"/>
    <row r="3831" customFormat="1" ht="14.4" customHeight="1" x14ac:dyDescent="0.3"/>
    <row r="3832" customFormat="1" ht="14.4" customHeight="1" x14ac:dyDescent="0.3"/>
    <row r="3833" customFormat="1" ht="14.4" customHeight="1" x14ac:dyDescent="0.3"/>
    <row r="3834" customFormat="1" ht="14.4" customHeight="1" x14ac:dyDescent="0.3"/>
    <row r="3835" customFormat="1" ht="14.4" customHeight="1" x14ac:dyDescent="0.3"/>
    <row r="3836" customFormat="1" ht="14.4" customHeight="1" x14ac:dyDescent="0.3"/>
    <row r="3837" customFormat="1" ht="14.4" customHeight="1" x14ac:dyDescent="0.3"/>
    <row r="3838" customFormat="1" ht="14.4" customHeight="1" x14ac:dyDescent="0.3"/>
    <row r="3839" customFormat="1" ht="14.4" customHeight="1" x14ac:dyDescent="0.3"/>
    <row r="3840" customFormat="1" ht="14.4" customHeight="1" x14ac:dyDescent="0.3"/>
    <row r="3841" customFormat="1" ht="14.4" customHeight="1" x14ac:dyDescent="0.3"/>
    <row r="3842" customFormat="1" ht="14.4" customHeight="1" x14ac:dyDescent="0.3"/>
    <row r="3843" customFormat="1" ht="14.4" customHeight="1" x14ac:dyDescent="0.3"/>
    <row r="3844" customFormat="1" ht="14.4" customHeight="1" x14ac:dyDescent="0.3"/>
    <row r="3845" customFormat="1" ht="14.4" customHeight="1" x14ac:dyDescent="0.3"/>
    <row r="3846" customFormat="1" ht="14.4" customHeight="1" x14ac:dyDescent="0.3"/>
    <row r="3847" customFormat="1" ht="14.4" customHeight="1" x14ac:dyDescent="0.3"/>
    <row r="3848" customFormat="1" ht="14.4" customHeight="1" x14ac:dyDescent="0.3"/>
    <row r="3849" customFormat="1" ht="14.4" customHeight="1" x14ac:dyDescent="0.3"/>
    <row r="3850" customFormat="1" ht="14.4" customHeight="1" x14ac:dyDescent="0.3"/>
    <row r="3851" customFormat="1" ht="14.4" customHeight="1" x14ac:dyDescent="0.3"/>
    <row r="3852" customFormat="1" ht="14.4" customHeight="1" x14ac:dyDescent="0.3"/>
    <row r="3853" customFormat="1" ht="14.4" customHeight="1" x14ac:dyDescent="0.3"/>
    <row r="3854" customFormat="1" ht="14.4" customHeight="1" x14ac:dyDescent="0.3"/>
    <row r="3855" customFormat="1" ht="14.4" customHeight="1" x14ac:dyDescent="0.3"/>
    <row r="3856" customFormat="1" ht="14.4" customHeight="1" x14ac:dyDescent="0.3"/>
    <row r="3857" customFormat="1" ht="14.4" customHeight="1" x14ac:dyDescent="0.3"/>
    <row r="3858" customFormat="1" ht="14.4" customHeight="1" x14ac:dyDescent="0.3"/>
    <row r="3859" customFormat="1" ht="14.4" customHeight="1" x14ac:dyDescent="0.3"/>
    <row r="3860" customFormat="1" ht="14.4" customHeight="1" x14ac:dyDescent="0.3"/>
    <row r="3861" customFormat="1" ht="14.4" customHeight="1" x14ac:dyDescent="0.3"/>
    <row r="3862" customFormat="1" ht="14.4" customHeight="1" x14ac:dyDescent="0.3"/>
    <row r="3863" customFormat="1" ht="14.4" customHeight="1" x14ac:dyDescent="0.3"/>
    <row r="3864" customFormat="1" ht="14.4" customHeight="1" x14ac:dyDescent="0.3"/>
    <row r="3865" customFormat="1" ht="14.4" customHeight="1" x14ac:dyDescent="0.3"/>
    <row r="3866" customFormat="1" ht="14.4" customHeight="1" x14ac:dyDescent="0.3"/>
    <row r="3867" customFormat="1" ht="14.4" customHeight="1" x14ac:dyDescent="0.3"/>
    <row r="3868" customFormat="1" ht="14.4" customHeight="1" x14ac:dyDescent="0.3"/>
    <row r="3869" customFormat="1" ht="14.4" customHeight="1" x14ac:dyDescent="0.3"/>
    <row r="3870" customFormat="1" ht="14.4" customHeight="1" x14ac:dyDescent="0.3"/>
    <row r="3871" customFormat="1" ht="14.4" customHeight="1" x14ac:dyDescent="0.3"/>
    <row r="3872" customFormat="1" ht="14.4" customHeight="1" x14ac:dyDescent="0.3"/>
    <row r="3873" customFormat="1" ht="14.4" customHeight="1" x14ac:dyDescent="0.3"/>
    <row r="3874" customFormat="1" ht="14.4" customHeight="1" x14ac:dyDescent="0.3"/>
    <row r="3875" customFormat="1" ht="14.4" customHeight="1" x14ac:dyDescent="0.3"/>
    <row r="3876" customFormat="1" ht="14.4" customHeight="1" x14ac:dyDescent="0.3"/>
    <row r="3877" customFormat="1" ht="14.4" customHeight="1" x14ac:dyDescent="0.3"/>
    <row r="3878" customFormat="1" ht="14.4" customHeight="1" x14ac:dyDescent="0.3"/>
    <row r="3879" customFormat="1" ht="14.4" customHeight="1" x14ac:dyDescent="0.3"/>
    <row r="3880" customFormat="1" ht="14.4" customHeight="1" x14ac:dyDescent="0.3"/>
    <row r="3881" customFormat="1" ht="14.4" customHeight="1" x14ac:dyDescent="0.3"/>
    <row r="3882" customFormat="1" ht="14.4" customHeight="1" x14ac:dyDescent="0.3"/>
    <row r="3883" customFormat="1" ht="14.4" customHeight="1" x14ac:dyDescent="0.3"/>
    <row r="3884" customFormat="1" ht="14.4" customHeight="1" x14ac:dyDescent="0.3"/>
    <row r="3885" customFormat="1" ht="14.4" customHeight="1" x14ac:dyDescent="0.3"/>
    <row r="3886" customFormat="1" ht="14.4" customHeight="1" x14ac:dyDescent="0.3"/>
    <row r="3887" customFormat="1" ht="14.4" customHeight="1" x14ac:dyDescent="0.3"/>
    <row r="3888" customFormat="1" ht="14.4" customHeight="1" x14ac:dyDescent="0.3"/>
    <row r="3889" customFormat="1" ht="14.4" customHeight="1" x14ac:dyDescent="0.3"/>
    <row r="3890" customFormat="1" ht="14.4" customHeight="1" x14ac:dyDescent="0.3"/>
    <row r="3891" customFormat="1" ht="14.4" customHeight="1" x14ac:dyDescent="0.3"/>
    <row r="3892" customFormat="1" ht="14.4" customHeight="1" x14ac:dyDescent="0.3"/>
    <row r="3893" customFormat="1" ht="14.4" customHeight="1" x14ac:dyDescent="0.3"/>
    <row r="3894" customFormat="1" ht="14.4" customHeight="1" x14ac:dyDescent="0.3"/>
    <row r="3895" customFormat="1" ht="14.4" customHeight="1" x14ac:dyDescent="0.3"/>
    <row r="3896" customFormat="1" ht="14.4" customHeight="1" x14ac:dyDescent="0.3"/>
    <row r="3897" customFormat="1" ht="14.4" customHeight="1" x14ac:dyDescent="0.3"/>
    <row r="3898" customFormat="1" ht="14.4" customHeight="1" x14ac:dyDescent="0.3"/>
    <row r="3899" customFormat="1" ht="14.4" customHeight="1" x14ac:dyDescent="0.3"/>
    <row r="3900" customFormat="1" ht="14.4" customHeight="1" x14ac:dyDescent="0.3"/>
    <row r="3901" customFormat="1" ht="14.4" customHeight="1" x14ac:dyDescent="0.3"/>
    <row r="3902" customFormat="1" ht="14.4" customHeight="1" x14ac:dyDescent="0.3"/>
    <row r="3903" customFormat="1" ht="14.4" customHeight="1" x14ac:dyDescent="0.3"/>
    <row r="3904" customFormat="1" ht="14.4" customHeight="1" x14ac:dyDescent="0.3"/>
    <row r="3905" customFormat="1" ht="14.4" customHeight="1" x14ac:dyDescent="0.3"/>
    <row r="3906" customFormat="1" ht="14.4" customHeight="1" x14ac:dyDescent="0.3"/>
    <row r="3907" customFormat="1" ht="14.4" customHeight="1" x14ac:dyDescent="0.3"/>
    <row r="3908" customFormat="1" ht="14.4" customHeight="1" x14ac:dyDescent="0.3"/>
    <row r="3909" customFormat="1" ht="14.4" customHeight="1" x14ac:dyDescent="0.3"/>
    <row r="3910" customFormat="1" ht="14.4" customHeight="1" x14ac:dyDescent="0.3"/>
    <row r="3911" customFormat="1" ht="14.4" customHeight="1" x14ac:dyDescent="0.3"/>
    <row r="3912" customFormat="1" ht="14.4" customHeight="1" x14ac:dyDescent="0.3"/>
    <row r="3913" customFormat="1" ht="14.4" customHeight="1" x14ac:dyDescent="0.3"/>
    <row r="3914" customFormat="1" ht="14.4" customHeight="1" x14ac:dyDescent="0.3"/>
    <row r="3915" customFormat="1" ht="14.4" customHeight="1" x14ac:dyDescent="0.3"/>
    <row r="3916" customFormat="1" ht="14.4" customHeight="1" x14ac:dyDescent="0.3"/>
    <row r="3917" customFormat="1" ht="14.4" customHeight="1" x14ac:dyDescent="0.3"/>
    <row r="3918" customFormat="1" ht="14.4" customHeight="1" x14ac:dyDescent="0.3"/>
    <row r="3919" customFormat="1" ht="14.4" customHeight="1" x14ac:dyDescent="0.3"/>
    <row r="3920" customFormat="1" ht="14.4" customHeight="1" x14ac:dyDescent="0.3"/>
    <row r="3921" customFormat="1" ht="14.4" customHeight="1" x14ac:dyDescent="0.3"/>
    <row r="3922" customFormat="1" ht="14.4" customHeight="1" x14ac:dyDescent="0.3"/>
    <row r="3923" customFormat="1" ht="14.4" customHeight="1" x14ac:dyDescent="0.3"/>
    <row r="3924" customFormat="1" ht="14.4" customHeight="1" x14ac:dyDescent="0.3"/>
    <row r="3925" customFormat="1" ht="14.4" customHeight="1" x14ac:dyDescent="0.3"/>
    <row r="3926" customFormat="1" ht="14.4" customHeight="1" x14ac:dyDescent="0.3"/>
    <row r="3927" customFormat="1" ht="14.4" customHeight="1" x14ac:dyDescent="0.3"/>
    <row r="3928" customFormat="1" ht="14.4" customHeight="1" x14ac:dyDescent="0.3"/>
    <row r="3929" customFormat="1" ht="14.4" customHeight="1" x14ac:dyDescent="0.3"/>
    <row r="3930" customFormat="1" ht="14.4" customHeight="1" x14ac:dyDescent="0.3"/>
    <row r="3931" customFormat="1" ht="14.4" customHeight="1" x14ac:dyDescent="0.3"/>
    <row r="3932" customFormat="1" ht="14.4" customHeight="1" x14ac:dyDescent="0.3"/>
    <row r="3933" customFormat="1" ht="14.4" customHeight="1" x14ac:dyDescent="0.3"/>
    <row r="3934" customFormat="1" ht="14.4" customHeight="1" x14ac:dyDescent="0.3"/>
    <row r="3935" customFormat="1" ht="14.4" customHeight="1" x14ac:dyDescent="0.3"/>
    <row r="3936" customFormat="1" ht="14.4" customHeight="1" x14ac:dyDescent="0.3"/>
    <row r="3937" customFormat="1" ht="14.4" customHeight="1" x14ac:dyDescent="0.3"/>
    <row r="3938" customFormat="1" ht="14.4" customHeight="1" x14ac:dyDescent="0.3"/>
    <row r="3939" customFormat="1" ht="14.4" customHeight="1" x14ac:dyDescent="0.3"/>
    <row r="3940" customFormat="1" ht="14.4" customHeight="1" x14ac:dyDescent="0.3"/>
    <row r="3941" customFormat="1" ht="14.4" customHeight="1" x14ac:dyDescent="0.3"/>
    <row r="3942" customFormat="1" ht="14.4" customHeight="1" x14ac:dyDescent="0.3"/>
    <row r="3943" customFormat="1" ht="14.4" customHeight="1" x14ac:dyDescent="0.3"/>
    <row r="3944" customFormat="1" ht="14.4" customHeight="1" x14ac:dyDescent="0.3"/>
    <row r="3945" customFormat="1" ht="14.4" customHeight="1" x14ac:dyDescent="0.3"/>
    <row r="3946" customFormat="1" ht="14.4" customHeight="1" x14ac:dyDescent="0.3"/>
    <row r="3947" customFormat="1" ht="14.4" customHeight="1" x14ac:dyDescent="0.3"/>
    <row r="3948" customFormat="1" ht="14.4" customHeight="1" x14ac:dyDescent="0.3"/>
    <row r="3949" customFormat="1" ht="14.4" customHeight="1" x14ac:dyDescent="0.3"/>
    <row r="3950" customFormat="1" ht="14.4" customHeight="1" x14ac:dyDescent="0.3"/>
    <row r="3951" customFormat="1" ht="14.4" customHeight="1" x14ac:dyDescent="0.3"/>
    <row r="3952" customFormat="1" ht="14.4" customHeight="1" x14ac:dyDescent="0.3"/>
    <row r="3953" customFormat="1" ht="14.4" customHeight="1" x14ac:dyDescent="0.3"/>
    <row r="3954" customFormat="1" ht="14.4" customHeight="1" x14ac:dyDescent="0.3"/>
    <row r="3955" customFormat="1" ht="14.4" customHeight="1" x14ac:dyDescent="0.3"/>
    <row r="3956" customFormat="1" ht="14.4" customHeight="1" x14ac:dyDescent="0.3"/>
    <row r="3957" customFormat="1" ht="14.4" customHeight="1" x14ac:dyDescent="0.3"/>
    <row r="3958" customFormat="1" ht="14.4" customHeight="1" x14ac:dyDescent="0.3"/>
    <row r="3959" customFormat="1" ht="14.4" customHeight="1" x14ac:dyDescent="0.3"/>
    <row r="3960" customFormat="1" ht="14.4" customHeight="1" x14ac:dyDescent="0.3"/>
    <row r="3961" customFormat="1" ht="14.4" customHeight="1" x14ac:dyDescent="0.3"/>
    <row r="3962" customFormat="1" ht="14.4" customHeight="1" x14ac:dyDescent="0.3"/>
    <row r="3963" customFormat="1" ht="14.4" customHeight="1" x14ac:dyDescent="0.3"/>
    <row r="3964" customFormat="1" ht="14.4" customHeight="1" x14ac:dyDescent="0.3"/>
    <row r="3965" customFormat="1" ht="14.4" customHeight="1" x14ac:dyDescent="0.3"/>
    <row r="3966" customFormat="1" ht="14.4" customHeight="1" x14ac:dyDescent="0.3"/>
    <row r="3967" customFormat="1" ht="14.4" customHeight="1" x14ac:dyDescent="0.3"/>
    <row r="3968" customFormat="1" ht="14.4" customHeight="1" x14ac:dyDescent="0.3"/>
    <row r="3969" customFormat="1" ht="14.4" customHeight="1" x14ac:dyDescent="0.3"/>
    <row r="3970" customFormat="1" ht="14.4" customHeight="1" x14ac:dyDescent="0.3"/>
    <row r="3971" customFormat="1" ht="14.4" customHeight="1" x14ac:dyDescent="0.3"/>
    <row r="3972" customFormat="1" ht="14.4" customHeight="1" x14ac:dyDescent="0.3"/>
    <row r="3973" customFormat="1" ht="14.4" customHeight="1" x14ac:dyDescent="0.3"/>
    <row r="3974" customFormat="1" ht="14.4" customHeight="1" x14ac:dyDescent="0.3"/>
    <row r="3975" customFormat="1" ht="14.4" customHeight="1" x14ac:dyDescent="0.3"/>
    <row r="3976" customFormat="1" ht="14.4" customHeight="1" x14ac:dyDescent="0.3"/>
    <row r="3977" customFormat="1" ht="14.4" customHeight="1" x14ac:dyDescent="0.3"/>
    <row r="3978" customFormat="1" ht="14.4" customHeight="1" x14ac:dyDescent="0.3"/>
    <row r="3979" customFormat="1" ht="14.4" customHeight="1" x14ac:dyDescent="0.3"/>
    <row r="3980" customFormat="1" ht="14.4" customHeight="1" x14ac:dyDescent="0.3"/>
    <row r="3981" customFormat="1" ht="14.4" customHeight="1" x14ac:dyDescent="0.3"/>
    <row r="3982" customFormat="1" ht="14.4" customHeight="1" x14ac:dyDescent="0.3"/>
    <row r="3983" customFormat="1" ht="14.4" customHeight="1" x14ac:dyDescent="0.3"/>
    <row r="3984" customFormat="1" ht="14.4" customHeight="1" x14ac:dyDescent="0.3"/>
    <row r="3985" customFormat="1" ht="14.4" customHeight="1" x14ac:dyDescent="0.3"/>
    <row r="3986" customFormat="1" ht="14.4" customHeight="1" x14ac:dyDescent="0.3"/>
    <row r="3987" customFormat="1" ht="14.4" customHeight="1" x14ac:dyDescent="0.3"/>
    <row r="3988" customFormat="1" ht="14.4" customHeight="1" x14ac:dyDescent="0.3"/>
    <row r="3989" customFormat="1" ht="14.4" customHeight="1" x14ac:dyDescent="0.3"/>
    <row r="3990" customFormat="1" ht="14.4" customHeight="1" x14ac:dyDescent="0.3"/>
    <row r="3991" customFormat="1" ht="14.4" customHeight="1" x14ac:dyDescent="0.3"/>
    <row r="3992" customFormat="1" ht="14.4" customHeight="1" x14ac:dyDescent="0.3"/>
  </sheetData>
  <mergeCells count="2">
    <mergeCell ref="A1:L1"/>
    <mergeCell ref="B2:C2"/>
  </mergeCells>
  <conditionalFormatting sqref="F2">
    <cfRule type="containsText" dxfId="38" priority="37" operator="containsText" text="✓">
      <formula>NOT(ISERROR(SEARCH("✓",F2)))</formula>
    </cfRule>
  </conditionalFormatting>
  <conditionalFormatting sqref="F2">
    <cfRule type="containsText" dxfId="37" priority="38" operator="containsText" text="✗">
      <formula>NOT(ISERROR(SEARCH("✗",F2)))</formula>
    </cfRule>
  </conditionalFormatting>
  <conditionalFormatting sqref="L5">
    <cfRule type="containsText" dxfId="36" priority="31" operator="containsText" text="مسدّد">
      <formula>NOT(ISERROR(SEARCH("مسدّد",L5)))</formula>
    </cfRule>
  </conditionalFormatting>
  <conditionalFormatting sqref="L5">
    <cfRule type="containsText" dxfId="35" priority="32" operator="containsText" text="مستحق">
      <formula>NOT(ISERROR(SEARCH("مستحق",L5)))</formula>
    </cfRule>
  </conditionalFormatting>
  <conditionalFormatting sqref="L5">
    <cfRule type="containsText" dxfId="34" priority="33" operator="containsText" text="قريب">
      <formula>NOT(ISERROR(SEARCH("قريب",L5)))</formula>
    </cfRule>
  </conditionalFormatting>
  <conditionalFormatting sqref="L5">
    <cfRule type="containsText" dxfId="33" priority="34" operator="containsText" text="جار">
      <formula>NOT(ISERROR(SEARCH("جار",L5)))</formula>
    </cfRule>
  </conditionalFormatting>
  <conditionalFormatting sqref="L5">
    <cfRule type="containsText" dxfId="32" priority="35" operator="containsText" text="بدون">
      <formula>NOT(ISERROR(SEARCH("بدون",L5)))</formula>
    </cfRule>
  </conditionalFormatting>
  <conditionalFormatting sqref="J5">
    <cfRule type="cellIs" dxfId="31" priority="36" operator="greaterThan">
      <formula>0</formula>
    </cfRule>
  </conditionalFormatting>
  <conditionalFormatting sqref="L6">
    <cfRule type="containsText" dxfId="30" priority="25" operator="containsText" text="مسدّد">
      <formula>NOT(ISERROR(SEARCH("مسدّد",L6)))</formula>
    </cfRule>
  </conditionalFormatting>
  <conditionalFormatting sqref="L6">
    <cfRule type="containsText" dxfId="29" priority="26" operator="containsText" text="مستحق">
      <formula>NOT(ISERROR(SEARCH("مستحق",L6)))</formula>
    </cfRule>
  </conditionalFormatting>
  <conditionalFormatting sqref="L6">
    <cfRule type="containsText" dxfId="28" priority="27" operator="containsText" text="قريب">
      <formula>NOT(ISERROR(SEARCH("قريب",L6)))</formula>
    </cfRule>
  </conditionalFormatting>
  <conditionalFormatting sqref="L6">
    <cfRule type="containsText" dxfId="27" priority="28" operator="containsText" text="جار">
      <formula>NOT(ISERROR(SEARCH("جار",L6)))</formula>
    </cfRule>
  </conditionalFormatting>
  <conditionalFormatting sqref="L6">
    <cfRule type="containsText" dxfId="26" priority="29" operator="containsText" text="بدون">
      <formula>NOT(ISERROR(SEARCH("بدون",L6)))</formula>
    </cfRule>
  </conditionalFormatting>
  <conditionalFormatting sqref="J6">
    <cfRule type="cellIs" dxfId="25" priority="30" operator="greaterThan">
      <formula>0</formula>
    </cfRule>
  </conditionalFormatting>
  <conditionalFormatting sqref="L7:L10">
    <cfRule type="containsText" dxfId="24" priority="19" operator="containsText" text="مسدّد">
      <formula>NOT(ISERROR(SEARCH("مسدّد",L7)))</formula>
    </cfRule>
  </conditionalFormatting>
  <conditionalFormatting sqref="L7:L10">
    <cfRule type="containsText" dxfId="23" priority="20" operator="containsText" text="مستحق">
      <formula>NOT(ISERROR(SEARCH("مستحق",L7)))</formula>
    </cfRule>
  </conditionalFormatting>
  <conditionalFormatting sqref="L7:L10">
    <cfRule type="containsText" dxfId="22" priority="21" operator="containsText" text="قريب">
      <formula>NOT(ISERROR(SEARCH("قريب",L7)))</formula>
    </cfRule>
  </conditionalFormatting>
  <conditionalFormatting sqref="L7:L10">
    <cfRule type="containsText" dxfId="21" priority="22" operator="containsText" text="جار">
      <formula>NOT(ISERROR(SEARCH("جار",L7)))</formula>
    </cfRule>
  </conditionalFormatting>
  <conditionalFormatting sqref="L7:L10">
    <cfRule type="containsText" dxfId="20" priority="23" operator="containsText" text="بدون">
      <formula>NOT(ISERROR(SEARCH("بدون",L7)))</formula>
    </cfRule>
  </conditionalFormatting>
  <conditionalFormatting sqref="J7:J10">
    <cfRule type="cellIs" dxfId="19" priority="24" operator="greaterThan">
      <formula>0</formula>
    </cfRule>
  </conditionalFormatting>
  <conditionalFormatting sqref="L11:L16">
    <cfRule type="containsText" dxfId="18" priority="13" operator="containsText" text="مسدّد">
      <formula>NOT(ISERROR(SEARCH("مسدّد",L11)))</formula>
    </cfRule>
  </conditionalFormatting>
  <conditionalFormatting sqref="L11:L16">
    <cfRule type="containsText" dxfId="17" priority="14" operator="containsText" text="مستحق">
      <formula>NOT(ISERROR(SEARCH("مستحق",L11)))</formula>
    </cfRule>
  </conditionalFormatting>
  <conditionalFormatting sqref="L11:L16">
    <cfRule type="containsText" dxfId="16" priority="15" operator="containsText" text="قريب">
      <formula>NOT(ISERROR(SEARCH("قريب",L11)))</formula>
    </cfRule>
  </conditionalFormatting>
  <conditionalFormatting sqref="L11:L16">
    <cfRule type="containsText" dxfId="15" priority="16" operator="containsText" text="جار">
      <formula>NOT(ISERROR(SEARCH("جار",L11)))</formula>
    </cfRule>
  </conditionalFormatting>
  <conditionalFormatting sqref="L11:L16">
    <cfRule type="containsText" dxfId="14" priority="17" operator="containsText" text="بدون">
      <formula>NOT(ISERROR(SEARCH("بدون",L11)))</formula>
    </cfRule>
  </conditionalFormatting>
  <conditionalFormatting sqref="J11:J16">
    <cfRule type="cellIs" dxfId="13" priority="18" operator="greaterThan">
      <formula>0</formula>
    </cfRule>
  </conditionalFormatting>
  <conditionalFormatting sqref="L17:L18">
    <cfRule type="containsText" dxfId="12" priority="7" operator="containsText" text="مسدّد">
      <formula>NOT(ISERROR(SEARCH("مسدّد",L17)))</formula>
    </cfRule>
  </conditionalFormatting>
  <conditionalFormatting sqref="L17:L18">
    <cfRule type="containsText" dxfId="11" priority="8" operator="containsText" text="مستحق">
      <formula>NOT(ISERROR(SEARCH("مستحق",L17)))</formula>
    </cfRule>
  </conditionalFormatting>
  <conditionalFormatting sqref="L17:L18">
    <cfRule type="containsText" dxfId="10" priority="9" operator="containsText" text="قريب">
      <formula>NOT(ISERROR(SEARCH("قريب",L17)))</formula>
    </cfRule>
  </conditionalFormatting>
  <conditionalFormatting sqref="L17:L18">
    <cfRule type="containsText" dxfId="9" priority="10" operator="containsText" text="جار">
      <formula>NOT(ISERROR(SEARCH("جار",L17)))</formula>
    </cfRule>
  </conditionalFormatting>
  <conditionalFormatting sqref="L17:L18">
    <cfRule type="containsText" dxfId="8" priority="11" operator="containsText" text="بدون">
      <formula>NOT(ISERROR(SEARCH("بدون",L17)))</formula>
    </cfRule>
  </conditionalFormatting>
  <conditionalFormatting sqref="J17:J18">
    <cfRule type="cellIs" dxfId="7" priority="12" operator="greaterThan">
      <formula>0</formula>
    </cfRule>
  </conditionalFormatting>
  <conditionalFormatting sqref="L19:L36">
    <cfRule type="containsText" dxfId="6" priority="1" operator="containsText" text="مسدّد">
      <formula>NOT(ISERROR(SEARCH("مسدّد",L19)))</formula>
    </cfRule>
  </conditionalFormatting>
  <conditionalFormatting sqref="L19:L36">
    <cfRule type="containsText" dxfId="5" priority="2" operator="containsText" text="مستحق">
      <formula>NOT(ISERROR(SEARCH("مستحق",L19)))</formula>
    </cfRule>
  </conditionalFormatting>
  <conditionalFormatting sqref="L19:L36">
    <cfRule type="containsText" dxfId="4" priority="3" operator="containsText" text="قريب">
      <formula>NOT(ISERROR(SEARCH("قريب",L19)))</formula>
    </cfRule>
  </conditionalFormatting>
  <conditionalFormatting sqref="L19:L36">
    <cfRule type="containsText" dxfId="3" priority="4" operator="containsText" text="جار">
      <formula>NOT(ISERROR(SEARCH("جار",L19)))</formula>
    </cfRule>
  </conditionalFormatting>
  <conditionalFormatting sqref="L19:L36">
    <cfRule type="containsText" dxfId="2" priority="5" operator="containsText" text="بدون">
      <formula>NOT(ISERROR(SEARCH("بدون",L19)))</formula>
    </cfRule>
  </conditionalFormatting>
  <conditionalFormatting sqref="J19:J36">
    <cfRule type="cellIs" dxfId="1" priority="6" operator="greaterThan">
      <formula>0</formula>
    </cfRule>
  </conditionalFormatting>
  <pageMargins left="0.7" right="0.7" top="0.75" bottom="0.75" header="0.3" footer="0.3"/>
  <pageSetup paperSize="9" scale="9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workbookViewId="0">
      <selection activeCell="B3" sqref="B1:B1048576"/>
    </sheetView>
  </sheetViews>
  <sheetFormatPr defaultRowHeight="14.4" x14ac:dyDescent="0.3"/>
  <cols>
    <col min="1" max="1" width="17.21875" customWidth="1"/>
    <col min="2" max="2" width="17.44140625" customWidth="1"/>
    <col min="3" max="3" width="13.6640625" customWidth="1"/>
    <col min="9" max="9" width="12.44140625" bestFit="1" customWidth="1"/>
    <col min="10" max="10" width="5.6640625" bestFit="1" customWidth="1"/>
    <col min="11" max="11" width="17.88671875" bestFit="1" customWidth="1"/>
  </cols>
  <sheetData>
    <row r="1" spans="1:11" ht="18" x14ac:dyDescent="0.35">
      <c r="A1" s="75" t="s">
        <v>40</v>
      </c>
      <c r="B1" s="76"/>
      <c r="C1" s="76"/>
      <c r="I1" s="79" t="s">
        <v>41</v>
      </c>
      <c r="J1" s="80"/>
      <c r="K1" s="80"/>
    </row>
    <row r="2" spans="1:11" ht="15.6" x14ac:dyDescent="0.3">
      <c r="A2" s="2" t="s">
        <v>42</v>
      </c>
      <c r="B2" s="77">
        <f>SUM(B4:B3000)-SUM(C4:C3000)</f>
        <v>74187950.297807068</v>
      </c>
      <c r="C2" s="78"/>
      <c r="I2" s="3" t="s">
        <v>42</v>
      </c>
      <c r="J2" s="77">
        <f>SUM(J4:J3000)-SUM(K4:K3000)</f>
        <v>-81837275</v>
      </c>
      <c r="K2" s="78"/>
    </row>
    <row r="3" spans="1:11" ht="18" customHeight="1" x14ac:dyDescent="0.35">
      <c r="A3" s="4" t="s">
        <v>16</v>
      </c>
      <c r="B3" s="5" t="s">
        <v>43</v>
      </c>
      <c r="C3" s="5" t="s">
        <v>44</v>
      </c>
      <c r="I3" s="4" t="s">
        <v>45</v>
      </c>
      <c r="J3" s="5" t="s">
        <v>43</v>
      </c>
      <c r="K3" s="5" t="s">
        <v>44</v>
      </c>
    </row>
    <row r="4" spans="1:11" ht="18" customHeight="1" x14ac:dyDescent="0.35">
      <c r="A4" s="6" t="s">
        <v>13</v>
      </c>
      <c r="B4" s="7">
        <v>0.5635087750852108</v>
      </c>
      <c r="C4" s="7">
        <v>0</v>
      </c>
      <c r="I4" s="6" t="s">
        <v>46</v>
      </c>
      <c r="J4" s="7">
        <v>0</v>
      </c>
      <c r="K4" s="7">
        <v>81837275</v>
      </c>
    </row>
    <row r="5" spans="1:11" ht="18" customHeight="1" x14ac:dyDescent="0.35">
      <c r="A5" s="6" t="s">
        <v>15</v>
      </c>
      <c r="B5" s="7">
        <v>0</v>
      </c>
      <c r="C5" s="7">
        <v>135737.48719297908</v>
      </c>
    </row>
    <row r="6" spans="1:11" ht="18" customHeight="1" x14ac:dyDescent="0.35">
      <c r="A6" s="6" t="s">
        <v>8</v>
      </c>
      <c r="B6" s="7">
        <v>44462280.282894775</v>
      </c>
      <c r="C6" s="7">
        <v>0</v>
      </c>
    </row>
    <row r="7" spans="1:11" ht="18" customHeight="1" x14ac:dyDescent="0.35">
      <c r="A7" s="6" t="s">
        <v>11</v>
      </c>
      <c r="B7" s="7">
        <v>19322298</v>
      </c>
      <c r="C7" s="7">
        <v>0</v>
      </c>
    </row>
    <row r="8" spans="1:11" ht="18" customHeight="1" x14ac:dyDescent="0.35">
      <c r="A8" s="6" t="s">
        <v>38</v>
      </c>
      <c r="B8" s="7">
        <v>1940415.0000000005</v>
      </c>
      <c r="C8" s="7">
        <v>0</v>
      </c>
    </row>
    <row r="9" spans="1:11" ht="18" customHeight="1" x14ac:dyDescent="0.35">
      <c r="A9" s="6" t="s">
        <v>32</v>
      </c>
      <c r="B9" s="7">
        <v>0</v>
      </c>
      <c r="C9" s="7">
        <v>35015.061403508531</v>
      </c>
    </row>
    <row r="10" spans="1:11" ht="18" customHeight="1" x14ac:dyDescent="0.35">
      <c r="A10" s="6" t="s">
        <v>22</v>
      </c>
      <c r="B10" s="7">
        <v>0</v>
      </c>
      <c r="C10" s="7">
        <v>4</v>
      </c>
    </row>
    <row r="11" spans="1:11" ht="18" customHeight="1" x14ac:dyDescent="0.35">
      <c r="A11" s="6" t="s">
        <v>99</v>
      </c>
      <c r="B11" s="7">
        <v>6550363</v>
      </c>
      <c r="C11" s="7">
        <v>0</v>
      </c>
    </row>
    <row r="12" spans="1:11" ht="18" customHeight="1" x14ac:dyDescent="0.35">
      <c r="A12" s="6" t="s">
        <v>100</v>
      </c>
      <c r="B12" s="7">
        <v>2083350.0000000005</v>
      </c>
      <c r="C12" s="7">
        <v>0</v>
      </c>
    </row>
    <row r="13" spans="1:11" ht="18" x14ac:dyDescent="0.35">
      <c r="A13" s="6"/>
      <c r="B13" s="7"/>
      <c r="C13" s="7"/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47</v>
      </c>
      <c r="B1" s="10" t="s">
        <v>48</v>
      </c>
      <c r="C1" s="10" t="s">
        <v>49</v>
      </c>
      <c r="D1" s="10" t="s">
        <v>50</v>
      </c>
      <c r="E1" s="10" t="s">
        <v>51</v>
      </c>
      <c r="F1" s="10" t="s">
        <v>52</v>
      </c>
      <c r="G1" s="11" t="s">
        <v>53</v>
      </c>
      <c r="H1" s="11" t="s">
        <v>54</v>
      </c>
      <c r="I1" s="11" t="s">
        <v>55</v>
      </c>
      <c r="J1" s="12" t="s">
        <v>56</v>
      </c>
      <c r="K1" s="10" t="s">
        <v>57</v>
      </c>
      <c r="L1" s="10" t="s">
        <v>58</v>
      </c>
    </row>
    <row r="2" spans="1:12" ht="15" customHeight="1" thickBot="1" x14ac:dyDescent="0.35">
      <c r="A2" s="13" t="s">
        <v>59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60</v>
      </c>
      <c r="L2" s="15">
        <v>2026</v>
      </c>
    </row>
    <row r="3" spans="1:12" ht="15" customHeight="1" thickBot="1" x14ac:dyDescent="0.35">
      <c r="A3" s="13" t="s">
        <v>61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60</v>
      </c>
      <c r="L3" s="15">
        <v>2026</v>
      </c>
    </row>
    <row r="4" spans="1:12" ht="15" customHeight="1" thickBot="1" x14ac:dyDescent="0.35">
      <c r="A4" s="13" t="s">
        <v>62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60</v>
      </c>
      <c r="L4" s="15">
        <v>2026</v>
      </c>
    </row>
    <row r="5" spans="1:12" ht="15" customHeight="1" thickBot="1" x14ac:dyDescent="0.35">
      <c r="A5" s="13" t="s">
        <v>63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60</v>
      </c>
      <c r="L5" s="15">
        <v>2026</v>
      </c>
    </row>
    <row r="6" spans="1:12" ht="15" customHeight="1" thickBot="1" x14ac:dyDescent="0.35">
      <c r="A6" s="13" t="s">
        <v>64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60</v>
      </c>
      <c r="L6" s="15">
        <v>2026</v>
      </c>
    </row>
    <row r="7" spans="1:12" ht="15" customHeight="1" thickBot="1" x14ac:dyDescent="0.35">
      <c r="A7" s="13" t="s">
        <v>65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60</v>
      </c>
      <c r="L7" s="15">
        <v>2026</v>
      </c>
    </row>
    <row r="8" spans="1:12" ht="15" customHeight="1" thickBot="1" x14ac:dyDescent="0.35">
      <c r="A8" s="13" t="s">
        <v>66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60</v>
      </c>
      <c r="L8" s="15">
        <v>2026</v>
      </c>
    </row>
    <row r="9" spans="1:12" ht="15" customHeight="1" thickBot="1" x14ac:dyDescent="0.35">
      <c r="A9" s="13" t="s">
        <v>67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68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tabSelected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81" t="s">
        <v>69</v>
      </c>
      <c r="B1" s="81"/>
      <c r="C1" s="81"/>
      <c r="D1" s="81"/>
    </row>
    <row r="2" spans="1:4" x14ac:dyDescent="0.3">
      <c r="A2" s="21" t="s">
        <v>70</v>
      </c>
      <c r="B2" s="22">
        <v>16</v>
      </c>
      <c r="C2" s="23">
        <v>41320351.435818709</v>
      </c>
      <c r="D2" s="24">
        <v>9.8125</v>
      </c>
    </row>
    <row r="3" spans="1:4" x14ac:dyDescent="0.3">
      <c r="A3" s="25" t="s">
        <v>0</v>
      </c>
      <c r="B3" s="25" t="s">
        <v>71</v>
      </c>
      <c r="C3" s="25" t="s">
        <v>72</v>
      </c>
      <c r="D3" s="25" t="s">
        <v>73</v>
      </c>
    </row>
    <row r="4" spans="1:4" x14ac:dyDescent="0.3">
      <c r="A4" s="46" t="s">
        <v>99</v>
      </c>
      <c r="B4" s="26">
        <v>2</v>
      </c>
      <c r="C4" s="27">
        <v>27715.5</v>
      </c>
      <c r="D4" s="28">
        <v>16</v>
      </c>
    </row>
    <row r="5" spans="1:4" x14ac:dyDescent="0.3">
      <c r="A5" s="29" t="s">
        <v>38</v>
      </c>
      <c r="B5" s="26">
        <v>1</v>
      </c>
      <c r="C5" s="27">
        <v>17305</v>
      </c>
      <c r="D5" s="28">
        <v>13</v>
      </c>
    </row>
    <row r="6" spans="1:4" x14ac:dyDescent="0.3">
      <c r="A6" s="29" t="s">
        <v>8</v>
      </c>
      <c r="B6" s="26">
        <v>8</v>
      </c>
      <c r="C6" s="27">
        <v>32466515.935818713</v>
      </c>
      <c r="D6" s="28">
        <v>8.5</v>
      </c>
    </row>
    <row r="7" spans="1:4" x14ac:dyDescent="0.3">
      <c r="A7" s="29" t="s">
        <v>11</v>
      </c>
      <c r="B7" s="26">
        <v>5</v>
      </c>
      <c r="C7" s="27">
        <v>8808815</v>
      </c>
      <c r="D7" s="28">
        <v>8.8000000000029104</v>
      </c>
    </row>
    <row r="8" spans="1:4" x14ac:dyDescent="0.3">
      <c r="A8" s="29"/>
      <c r="B8" s="26" t="s">
        <v>74</v>
      </c>
      <c r="C8" s="27" t="s">
        <v>74</v>
      </c>
      <c r="D8" s="28" t="s">
        <v>74</v>
      </c>
    </row>
    <row r="9" spans="1:4" x14ac:dyDescent="0.3">
      <c r="A9" s="29"/>
      <c r="B9" s="26" t="s">
        <v>74</v>
      </c>
      <c r="C9" s="27" t="s">
        <v>74</v>
      </c>
      <c r="D9" s="28" t="s">
        <v>74</v>
      </c>
    </row>
    <row r="10" spans="1:4" x14ac:dyDescent="0.3">
      <c r="A10" s="29"/>
      <c r="B10" s="26" t="s">
        <v>74</v>
      </c>
      <c r="C10" s="27" t="s">
        <v>74</v>
      </c>
      <c r="D10" s="28" t="s">
        <v>74</v>
      </c>
    </row>
    <row r="11" spans="1:4" x14ac:dyDescent="0.3">
      <c r="A11" s="29"/>
      <c r="B11" s="26" t="s">
        <v>74</v>
      </c>
      <c r="C11" s="27" t="s">
        <v>74</v>
      </c>
      <c r="D11" s="28" t="s">
        <v>74</v>
      </c>
    </row>
    <row r="12" spans="1:4" x14ac:dyDescent="0.3">
      <c r="A12" s="29"/>
      <c r="B12" s="26" t="s">
        <v>74</v>
      </c>
      <c r="C12" s="27" t="s">
        <v>74</v>
      </c>
      <c r="D12" s="28" t="s">
        <v>74</v>
      </c>
    </row>
    <row r="13" spans="1:4" x14ac:dyDescent="0.3">
      <c r="A13" s="29"/>
      <c r="B13" s="26" t="s">
        <v>74</v>
      </c>
      <c r="C13" s="27" t="s">
        <v>74</v>
      </c>
      <c r="D13" s="28" t="s">
        <v>74</v>
      </c>
    </row>
    <row r="14" spans="1:4" x14ac:dyDescent="0.3">
      <c r="A14" s="29"/>
      <c r="B14" s="26" t="s">
        <v>74</v>
      </c>
      <c r="C14" s="27" t="s">
        <v>74</v>
      </c>
      <c r="D14" s="28" t="s">
        <v>74</v>
      </c>
    </row>
    <row r="15" spans="1:4" x14ac:dyDescent="0.3">
      <c r="A15" s="29"/>
      <c r="B15" s="26" t="s">
        <v>74</v>
      </c>
      <c r="C15" s="27" t="s">
        <v>74</v>
      </c>
      <c r="D15" s="28" t="s">
        <v>74</v>
      </c>
    </row>
    <row r="16" spans="1:4" x14ac:dyDescent="0.3">
      <c r="A16" s="29"/>
      <c r="B16" s="26" t="s">
        <v>74</v>
      </c>
      <c r="C16" s="27" t="s">
        <v>74</v>
      </c>
      <c r="D16" s="28" t="s">
        <v>74</v>
      </c>
    </row>
    <row r="17" spans="1:4" x14ac:dyDescent="0.3">
      <c r="A17" s="29"/>
      <c r="B17" s="26" t="s">
        <v>74</v>
      </c>
      <c r="C17" s="27" t="s">
        <v>74</v>
      </c>
      <c r="D17" s="28" t="s">
        <v>74</v>
      </c>
    </row>
    <row r="18" spans="1:4" x14ac:dyDescent="0.3">
      <c r="A18" s="29"/>
      <c r="B18" s="26" t="s">
        <v>74</v>
      </c>
      <c r="C18" s="27" t="s">
        <v>74</v>
      </c>
      <c r="D18" s="28" t="s">
        <v>74</v>
      </c>
    </row>
    <row r="19" spans="1:4" x14ac:dyDescent="0.3">
      <c r="A19" s="29"/>
      <c r="B19" s="26" t="s">
        <v>74</v>
      </c>
      <c r="C19" s="27" t="s">
        <v>74</v>
      </c>
      <c r="D19" s="28" t="s">
        <v>74</v>
      </c>
    </row>
    <row r="20" spans="1:4" x14ac:dyDescent="0.3">
      <c r="A20" s="29"/>
      <c r="B20" s="26" t="s">
        <v>74</v>
      </c>
      <c r="C20" s="27" t="s">
        <v>74</v>
      </c>
      <c r="D20" s="28" t="s">
        <v>74</v>
      </c>
    </row>
  </sheetData>
  <sheetProtection algorithmName="SHA-512" hashValue="N7DM6SClkR1bXwOpK2z5M0Ht4aiRKDeKvZSbs89otO+5bY+AwFqovSN+37uWqDnLO+9RVH7iJmbSHQJYOiwjqg==" saltValue="NSy4fzKOctoWJSmA7L4DcQ==" spinCount="100000" sheet="1" objects="1" scenarios="1"/>
  <mergeCells count="1">
    <mergeCell ref="A1:D1"/>
  </mergeCells>
  <conditionalFormatting sqref="A4:D20">
    <cfRule type="expression" dxfId="0" priority="1">
      <formula>AND($A4&lt;&gt;"",MOD(ROW(),2)=0)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الشيكات</vt:lpstr>
      <vt:lpstr>شيكات علينا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2026-10-27T12:31:57Z</dcterms:modified>
</cp:coreProperties>
</file>