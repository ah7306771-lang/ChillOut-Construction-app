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3D670CC8-44CF-408D-9533-8344E633AB97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الشيكات" sheetId="1" r:id="rId1"/>
    <sheet name="العملاء والموردين" sheetId="2" r:id="rId2"/>
    <sheet name="الرواتب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" i="3" l="1"/>
  <c r="J4" i="3"/>
  <c r="J5" i="3"/>
  <c r="J6" i="3"/>
  <c r="J7" i="3"/>
  <c r="J8" i="3"/>
  <c r="J9" i="3"/>
  <c r="J10" i="3"/>
  <c r="J11" i="3"/>
  <c r="J12" i="3"/>
  <c r="I3" i="3"/>
  <c r="I4" i="3"/>
  <c r="I5" i="3"/>
  <c r="I6" i="3"/>
  <c r="I7" i="3"/>
  <c r="I8" i="3"/>
  <c r="I9" i="3"/>
  <c r="I10" i="3"/>
  <c r="F3" i="3"/>
  <c r="F4" i="3"/>
  <c r="F5" i="3"/>
  <c r="F6" i="3"/>
  <c r="F7" i="3"/>
  <c r="F8" i="3"/>
  <c r="F9" i="3"/>
  <c r="F10" i="3"/>
  <c r="J2" i="3"/>
  <c r="I2" i="3"/>
  <c r="F2" i="3"/>
  <c r="J2" i="2"/>
  <c r="B2" i="2"/>
</calcChain>
</file>

<file path=xl/sharedStrings.xml><?xml version="1.0" encoding="utf-8"?>
<sst xmlns="http://schemas.openxmlformats.org/spreadsheetml/2006/main" count="110" uniqueCount="63">
  <si>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</si>
  <si>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</si>
  <si>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</si>
  <si>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</si>
  <si>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</si>
  <si>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</si>
  <si>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</si>
  <si>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</si>
  <si>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</si>
  <si>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</si>
  <si>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</si>
  <si>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⚠ فات ميعاد الاستحقاق</t>
  </si>
  <si>
    <t>تم سداده تحويل</t>
  </si>
  <si>
    <t xml:space="preserve">تم سداد المستحق منه </t>
  </si>
  <si>
    <t>ويكادي</t>
  </si>
  <si>
    <t>CIB</t>
  </si>
  <si>
    <t>⚠ باقي 7 يوم</t>
  </si>
  <si>
    <t>باقي 13 يوم</t>
  </si>
  <si>
    <t>خالد صبري</t>
  </si>
  <si>
    <t>باقي 16 يوم</t>
  </si>
  <si>
    <t>باقي 23 يوم</t>
  </si>
  <si>
    <t>باقي 37 يوم</t>
  </si>
  <si>
    <t>باقي 43 يوم</t>
  </si>
  <si>
    <t>باقي 27 يوم</t>
  </si>
  <si>
    <t>BM</t>
  </si>
  <si>
    <t>باقي 34 يوم</t>
  </si>
  <si>
    <t>⚠ باقي 4 يوم</t>
  </si>
  <si>
    <t>الشركة المتحده</t>
  </si>
  <si>
    <t>باقي 39 يوم</t>
  </si>
  <si>
    <t>سامكريت مصر</t>
  </si>
  <si>
    <t>ارصدة العملاء</t>
  </si>
  <si>
    <t>ارصدة الموردين</t>
  </si>
  <si>
    <t>الرصيد</t>
  </si>
  <si>
    <t>اسم العميل</t>
  </si>
  <si>
    <t>مدين</t>
  </si>
  <si>
    <t>دائن</t>
  </si>
  <si>
    <t>اسم المورد</t>
  </si>
  <si>
    <t>ترانس سبلاي</t>
  </si>
  <si>
    <t>بينتاكون</t>
  </si>
  <si>
    <t>جي دبيو</t>
  </si>
  <si>
    <t>بيراميدز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</si>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</sst>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</borders>
  <cellStyleXfs count="1">
    <xf numFmtId="0" fontId="0" fillId="0" borderId="0"/>
  </cellStyleXfs>
  <cellXfs count="23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4" fontId="1" fillId="3" borderId="1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I19"/>
  <sheetViews>
    <sheetView rightToLeft="1" tabSelected="1" workbookViewId="0">
      <selection activeCell="A3" sqref="A3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6.21875" customWidth="1"/>
    <col min="6" max="6" width="5.6640625" customWidth="1"/>
    <col min="7" max="7" width="18.3320312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8</v>
      </c>
      <c r="B3" s="19">
        <v>307385</v>
      </c>
      <c r="C3" s="19">
        <v>2388000</v>
      </c>
      <c r="D3" s="20">
        <v>46254</v>
      </c>
      <c r="E3" s="19" t="s">
        <v>9</v>
      </c>
      <c r="F3" s="19" t="s">
        <v>10</v>
      </c>
      <c r="G3" s="19" t="s">
        <v>11</v>
      </c>
      <c r="H3" s="19" t="s">
        <v>12</v>
      </c>
      <c r="I3" s="19"/>
    </row>
    <row r="4" spans="1:9" x14ac:dyDescent="0.3">
      <c r="A4" s="19" t="s">
        <v>8</v>
      </c>
      <c r="B4" s="19">
        <v>307382</v>
      </c>
      <c r="C4" s="19">
        <v>13300000</v>
      </c>
      <c r="D4" s="20">
        <v>46260</v>
      </c>
      <c r="E4" s="19" t="s">
        <v>9</v>
      </c>
      <c r="F4" s="19" t="s">
        <v>10</v>
      </c>
      <c r="G4" s="19" t="s">
        <v>11</v>
      </c>
      <c r="H4" s="19" t="s">
        <v>13</v>
      </c>
      <c r="I4" s="19"/>
    </row>
    <row r="5" spans="1:9" x14ac:dyDescent="0.3">
      <c r="A5" s="19" t="s">
        <v>14</v>
      </c>
      <c r="B5" s="19">
        <v>551298779</v>
      </c>
      <c r="C5" s="19">
        <v>1248395</v>
      </c>
      <c r="D5" s="20">
        <v>46274</v>
      </c>
      <c r="E5" s="19" t="s">
        <v>15</v>
      </c>
      <c r="F5" s="19" t="s">
        <v>10</v>
      </c>
      <c r="G5" s="19" t="s">
        <v>11</v>
      </c>
      <c r="H5" s="19"/>
      <c r="I5" s="19"/>
    </row>
    <row r="6" spans="1:9" x14ac:dyDescent="0.3">
      <c r="A6" s="19" t="s">
        <v>8</v>
      </c>
      <c r="B6" s="19">
        <v>307379</v>
      </c>
      <c r="C6" s="19">
        <v>2388000</v>
      </c>
      <c r="D6" s="20">
        <v>46285</v>
      </c>
      <c r="E6" s="19" t="s">
        <v>9</v>
      </c>
      <c r="F6" s="19" t="s">
        <v>10</v>
      </c>
      <c r="G6" s="19" t="s">
        <v>16</v>
      </c>
      <c r="H6" s="19"/>
      <c r="I6" s="19"/>
    </row>
    <row r="7" spans="1:9" x14ac:dyDescent="0.3">
      <c r="A7" s="19" t="s">
        <v>8</v>
      </c>
      <c r="B7" s="19">
        <v>307383</v>
      </c>
      <c r="C7" s="19">
        <v>13300000</v>
      </c>
      <c r="D7" s="20">
        <v>46291</v>
      </c>
      <c r="E7" s="19" t="s">
        <v>9</v>
      </c>
      <c r="F7" s="19" t="s">
        <v>10</v>
      </c>
      <c r="G7" s="19" t="s">
        <v>17</v>
      </c>
      <c r="H7" s="19"/>
      <c r="I7" s="19"/>
    </row>
    <row r="8" spans="1:9" x14ac:dyDescent="0.3">
      <c r="A8" s="19" t="s">
        <v>18</v>
      </c>
      <c r="B8" s="19">
        <v>532937070</v>
      </c>
      <c r="C8" s="19">
        <v>3971430</v>
      </c>
      <c r="D8" s="20">
        <v>46294</v>
      </c>
      <c r="E8" s="19" t="s">
        <v>15</v>
      </c>
      <c r="F8" s="19" t="s">
        <v>10</v>
      </c>
      <c r="G8" s="19" t="s">
        <v>19</v>
      </c>
      <c r="H8" s="19"/>
      <c r="I8" s="19"/>
    </row>
    <row r="9" spans="1:9" x14ac:dyDescent="0.3">
      <c r="A9" s="19" t="s">
        <v>8</v>
      </c>
      <c r="B9" s="19">
        <v>307380</v>
      </c>
      <c r="C9" s="19">
        <v>7857894</v>
      </c>
      <c r="D9" s="20">
        <v>46301</v>
      </c>
      <c r="E9" s="19" t="s">
        <v>9</v>
      </c>
      <c r="F9" s="19" t="s">
        <v>10</v>
      </c>
      <c r="G9" s="19" t="s">
        <v>20</v>
      </c>
      <c r="H9" s="19"/>
      <c r="I9" s="19"/>
    </row>
    <row r="10" spans="1:9" x14ac:dyDescent="0.3">
      <c r="A10" s="19" t="s">
        <v>8</v>
      </c>
      <c r="B10" s="19">
        <v>307381</v>
      </c>
      <c r="C10" s="19">
        <v>2388000</v>
      </c>
      <c r="D10" s="20">
        <v>46315</v>
      </c>
      <c r="E10" s="19" t="s">
        <v>9</v>
      </c>
      <c r="F10" s="19" t="s">
        <v>10</v>
      </c>
      <c r="G10" s="19" t="s">
        <v>21</v>
      </c>
      <c r="H10" s="19"/>
      <c r="I10" s="19"/>
    </row>
    <row r="11" spans="1:9" x14ac:dyDescent="0.3">
      <c r="A11" s="19" t="s">
        <v>8</v>
      </c>
      <c r="B11" s="19">
        <v>307384</v>
      </c>
      <c r="C11" s="19">
        <v>13300000</v>
      </c>
      <c r="D11" s="20">
        <v>46321</v>
      </c>
      <c r="E11" s="19" t="s">
        <v>9</v>
      </c>
      <c r="F11" s="19" t="s">
        <v>10</v>
      </c>
      <c r="G11" s="19" t="s">
        <v>22</v>
      </c>
      <c r="H11" s="19"/>
      <c r="I11" s="19"/>
    </row>
    <row r="12" spans="1:9" x14ac:dyDescent="0.3">
      <c r="A12" s="19" t="s">
        <v>18</v>
      </c>
      <c r="B12" s="19">
        <v>532937100</v>
      </c>
      <c r="C12" s="19">
        <v>5043144</v>
      </c>
      <c r="D12" s="20">
        <v>46305</v>
      </c>
      <c r="E12" s="19"/>
      <c r="F12" s="19" t="s">
        <v>10</v>
      </c>
      <c r="G12" s="19" t="s">
        <v>23</v>
      </c>
      <c r="H12" s="19"/>
      <c r="I12" s="19"/>
    </row>
    <row r="13" spans="1:9" x14ac:dyDescent="0.3">
      <c r="A13" s="19" t="s">
        <v>18</v>
      </c>
      <c r="B13" s="19">
        <v>9165752</v>
      </c>
      <c r="C13" s="19">
        <v>3979312.84</v>
      </c>
      <c r="D13" s="20">
        <v>46312</v>
      </c>
      <c r="E13" s="19" t="s">
        <v>24</v>
      </c>
      <c r="F13" s="19" t="s">
        <v>10</v>
      </c>
      <c r="G13" s="19" t="s">
        <v>25</v>
      </c>
      <c r="H13" s="19"/>
      <c r="I13" s="19"/>
    </row>
    <row r="14" spans="1:9" x14ac:dyDescent="0.3">
      <c r="A14" s="19" t="s">
        <v>14</v>
      </c>
      <c r="B14" s="19">
        <v>554541873</v>
      </c>
      <c r="C14" s="19">
        <v>1556850</v>
      </c>
      <c r="D14" s="20">
        <v>46282</v>
      </c>
      <c r="E14" s="19" t="s">
        <v>15</v>
      </c>
      <c r="F14" s="19" t="s">
        <v>10</v>
      </c>
      <c r="G14" s="19" t="s">
        <v>26</v>
      </c>
      <c r="H14" s="19"/>
      <c r="I14" s="19"/>
    </row>
    <row r="15" spans="1:9" x14ac:dyDescent="0.3">
      <c r="A15" s="19" t="s">
        <v>27</v>
      </c>
      <c r="B15" s="19">
        <v>2798976</v>
      </c>
      <c r="C15" s="19">
        <v>17745354</v>
      </c>
      <c r="D15" s="20">
        <v>46317</v>
      </c>
      <c r="E15" s="19"/>
      <c r="F15" s="19" t="s">
        <v>10</v>
      </c>
      <c r="G15" s="19" t="s">
        <v>28</v>
      </c>
      <c r="H15" s="19"/>
      <c r="I15" s="19"/>
    </row>
    <row r="16" spans="1:9" x14ac:dyDescent="0.3">
      <c r="A16" s="19" t="s">
        <v>29</v>
      </c>
      <c r="B16" s="19">
        <v>13249953</v>
      </c>
      <c r="C16" s="19">
        <v>7167694.6299999999</v>
      </c>
      <c r="D16" s="20">
        <v>46321</v>
      </c>
      <c r="E16" s="19"/>
      <c r="F16" s="19" t="s">
        <v>10</v>
      </c>
      <c r="G16" s="19" t="s">
        <v>22</v>
      </c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883C0-AA07-4B02-B503-09C2C917956D}">
  <dimension ref="A1:K15"/>
  <sheetViews>
    <sheetView rightToLeft="1" workbookViewId="0">
      <selection activeCell="D1" sqref="D1:D1048576"/>
    </sheetView>
  </sheetViews>
  <sheetFormatPr defaultRowHeight="14.4" x14ac:dyDescent="0.3"/>
  <cols>
    <col min="2" max="2" width="16.44140625" bestFit="1" customWidth="1"/>
    <col min="3" max="3" width="11.6640625" bestFit="1" customWidth="1"/>
    <col min="9" max="9" width="12.44140625" bestFit="1" customWidth="1"/>
    <col min="11" max="11" width="16.44140625" bestFit="1" customWidth="1"/>
  </cols>
  <sheetData>
    <row r="1" spans="1:11" x14ac:dyDescent="0.3">
      <c r="A1" s="21" t="s">
        <v>30</v>
      </c>
      <c r="B1" s="21"/>
      <c r="C1" s="21"/>
      <c r="I1" s="21" t="s">
        <v>31</v>
      </c>
      <c r="J1" s="21"/>
      <c r="K1" s="21"/>
    </row>
    <row r="2" spans="1:11" x14ac:dyDescent="0.3">
      <c r="A2" s="2" t="s">
        <v>32</v>
      </c>
      <c r="B2" s="22">
        <f>B96-C96</f>
        <v>0</v>
      </c>
      <c r="C2" s="22"/>
      <c r="I2" s="3" t="s">
        <v>32</v>
      </c>
      <c r="J2" s="22">
        <f>J96-K96</f>
        <v>0</v>
      </c>
      <c r="K2" s="22"/>
    </row>
    <row r="3" spans="1:11" ht="18" x14ac:dyDescent="0.35">
      <c r="A3" s="4" t="s">
        <v>33</v>
      </c>
      <c r="B3" s="5" t="s">
        <v>34</v>
      </c>
      <c r="C3" s="5" t="s">
        <v>35</v>
      </c>
      <c r="I3" s="4" t="s">
        <v>36</v>
      </c>
      <c r="J3" s="5" t="s">
        <v>34</v>
      </c>
      <c r="K3" s="5" t="s">
        <v>35</v>
      </c>
    </row>
    <row r="4" spans="1:11" ht="18" x14ac:dyDescent="0.35">
      <c r="A4" s="6" t="s">
        <v>18</v>
      </c>
      <c r="B4" s="7">
        <v>12993887.403508775</v>
      </c>
      <c r="C4" s="7">
        <v>0</v>
      </c>
      <c r="I4" s="6" t="s">
        <v>37</v>
      </c>
      <c r="J4" s="7">
        <v>0</v>
      </c>
      <c r="K4" s="7">
        <v>76899579.5</v>
      </c>
    </row>
    <row r="5" spans="1:11" ht="18" x14ac:dyDescent="0.35">
      <c r="A5" s="6" t="s">
        <v>29</v>
      </c>
      <c r="B5" s="7">
        <v>7031957.1428070199</v>
      </c>
      <c r="C5" s="7">
        <v>0</v>
      </c>
    </row>
    <row r="6" spans="1:11" ht="18" x14ac:dyDescent="0.35">
      <c r="A6" s="6" t="s">
        <v>8</v>
      </c>
      <c r="B6" s="7">
        <v>29593741.250000007</v>
      </c>
      <c r="C6" s="7">
        <v>0</v>
      </c>
    </row>
    <row r="7" spans="1:11" ht="18" x14ac:dyDescent="0.35">
      <c r="A7" s="6" t="s">
        <v>14</v>
      </c>
      <c r="B7" s="7">
        <v>5830041</v>
      </c>
      <c r="C7" s="7">
        <v>0</v>
      </c>
    </row>
    <row r="8" spans="1:11" ht="18" x14ac:dyDescent="0.35">
      <c r="A8" s="6" t="s">
        <v>38</v>
      </c>
      <c r="B8" s="7">
        <v>2017305.0000000005</v>
      </c>
      <c r="C8" s="7">
        <v>0</v>
      </c>
    </row>
    <row r="9" spans="1:11" ht="18" x14ac:dyDescent="0.35">
      <c r="A9" s="6" t="s">
        <v>39</v>
      </c>
      <c r="B9" s="7">
        <v>0</v>
      </c>
      <c r="C9" s="7">
        <v>35015.061403508531</v>
      </c>
    </row>
    <row r="10" spans="1:11" ht="18" x14ac:dyDescent="0.35">
      <c r="A10" s="6" t="s">
        <v>40</v>
      </c>
      <c r="B10" s="7">
        <v>0</v>
      </c>
      <c r="C10" s="7">
        <v>4</v>
      </c>
    </row>
    <row r="11" spans="1:11" ht="18" x14ac:dyDescent="0.35">
      <c r="A11" s="6" t="s">
        <v>27</v>
      </c>
      <c r="B11" s="7">
        <v>17745354.000000004</v>
      </c>
      <c r="C11" s="7">
        <v>0</v>
      </c>
    </row>
    <row r="12" spans="1:11" x14ac:dyDescent="0.3">
      <c r="B12" s="8"/>
      <c r="C12" s="8"/>
    </row>
    <row r="13" spans="1:11" x14ac:dyDescent="0.3">
      <c r="B13" s="8"/>
      <c r="C13" s="8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I1:K1"/>
    <mergeCell ref="B2:C2"/>
    <mergeCell ref="J2:K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45E46-376E-4CF9-816E-A5E72EFD98ED}"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thickBot="1" x14ac:dyDescent="0.4">
      <c r="A1" s="9" t="s">
        <v>41</v>
      </c>
      <c r="B1" s="10" t="s">
        <v>42</v>
      </c>
      <c r="C1" s="10" t="s">
        <v>43</v>
      </c>
      <c r="D1" s="10" t="s">
        <v>44</v>
      </c>
      <c r="E1" s="10" t="s">
        <v>45</v>
      </c>
      <c r="F1" s="10" t="s">
        <v>46</v>
      </c>
      <c r="G1" s="11" t="s">
        <v>47</v>
      </c>
      <c r="H1" s="11" t="s">
        <v>48</v>
      </c>
      <c r="I1" s="11" t="s">
        <v>49</v>
      </c>
      <c r="J1" s="12" t="s">
        <v>50</v>
      </c>
      <c r="K1" s="10" t="s">
        <v>51</v>
      </c>
      <c r="L1" s="10" t="s">
        <v>52</v>
      </c>
    </row>
    <row r="2" spans="1:12" ht="15" thickBot="1" x14ac:dyDescent="0.35">
      <c r="A2" s="13" t="s">
        <v>53</v>
      </c>
      <c r="B2" s="14">
        <v>8000</v>
      </c>
      <c r="C2" s="14"/>
      <c r="D2" s="14"/>
      <c r="E2" s="14"/>
      <c r="F2" s="14">
        <f>B2+C2+D2+E2</f>
        <v>8000</v>
      </c>
      <c r="G2" s="14"/>
      <c r="H2" s="14"/>
      <c r="I2" s="14">
        <f>G2-H2</f>
        <v>0</v>
      </c>
      <c r="J2" s="14">
        <f>F2-I2</f>
        <v>8000</v>
      </c>
      <c r="K2" s="15" t="s">
        <v>54</v>
      </c>
      <c r="L2" s="15">
        <v>2026</v>
      </c>
    </row>
    <row r="3" spans="1:12" ht="15" thickBot="1" x14ac:dyDescent="0.35">
      <c r="A3" s="13" t="s">
        <v>55</v>
      </c>
      <c r="B3" s="14"/>
      <c r="C3" s="14"/>
      <c r="D3" s="14"/>
      <c r="E3" s="14"/>
      <c r="F3" s="14">
        <f t="shared" ref="F3:F10" si="0">B3+C3+D3+E3</f>
        <v>0</v>
      </c>
      <c r="G3" s="14"/>
      <c r="H3" s="14"/>
      <c r="I3" s="14">
        <f t="shared" ref="I3:I10" si="1">G3-H3</f>
        <v>0</v>
      </c>
      <c r="J3" s="14">
        <f t="shared" ref="J3:J12" si="2">F3-I3</f>
        <v>0</v>
      </c>
      <c r="K3" s="15" t="s">
        <v>54</v>
      </c>
      <c r="L3" s="15">
        <v>2026</v>
      </c>
    </row>
    <row r="4" spans="1:12" ht="15" thickBot="1" x14ac:dyDescent="0.35">
      <c r="A4" s="13" t="s">
        <v>56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54</v>
      </c>
      <c r="L4" s="15">
        <v>2026</v>
      </c>
    </row>
    <row r="5" spans="1:12" ht="15" thickBot="1" x14ac:dyDescent="0.35">
      <c r="A5" s="13" t="s">
        <v>57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54</v>
      </c>
      <c r="L5" s="15">
        <v>2026</v>
      </c>
    </row>
    <row r="6" spans="1:12" ht="15" thickBot="1" x14ac:dyDescent="0.35">
      <c r="A6" s="13" t="s">
        <v>58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54</v>
      </c>
      <c r="L6" s="15">
        <v>2026</v>
      </c>
    </row>
    <row r="7" spans="1:12" ht="15" thickBot="1" x14ac:dyDescent="0.35">
      <c r="A7" s="13" t="s">
        <v>59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54</v>
      </c>
      <c r="L7" s="15">
        <v>2026</v>
      </c>
    </row>
    <row r="8" spans="1:12" ht="15" thickBot="1" x14ac:dyDescent="0.35">
      <c r="A8" s="13" t="s">
        <v>60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54</v>
      </c>
      <c r="L8" s="15">
        <v>2026</v>
      </c>
    </row>
    <row r="9" spans="1:12" ht="15" thickBot="1" x14ac:dyDescent="0.35">
      <c r="A9" s="13" t="s">
        <v>61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62</v>
      </c>
      <c r="L9" s="15">
        <v>2027</v>
      </c>
    </row>
    <row r="10" spans="1:12" ht="15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honeticPr fontId="7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الشيكات</vt:lpstr>
      <vt:lpstr>العملاء والموردين</vt:lpstr>
      <vt:lpstr>الرواتب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2026-09-13T13:22:46Z</dcterms:modified>
</cp:coreProperties>
</file>