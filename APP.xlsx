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F1451A25-7190-42E1-AD3F-E2040DB90E62}" xr6:coauthVersionLast="47" xr6:coauthVersionMax="47" xr10:uidLastSave="{00000000-0000-0000-0000-000000000000}"/>
  <bookViews>
    <workbookView xWindow="-108" yWindow="-108" windowWidth="23256" windowHeight="1257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<sst xmlns="http://schemas.openxmlformats.org/spreadsheetml/2006/main" count="736" uniqueCount="148">
  <si>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</si>
  <si>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</si>
  <si>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</si>
  <si>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</si>
  <si>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</si>
  <si>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</si>
  <si>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</si>
  <si>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</si>
  <si>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</si>
  <si>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</si>
  <si>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</si>
  <si>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</si>
  <si>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</si>
  <si>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</si>
  <si>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</si>
  <si>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</si>
  <si>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</si>
  <si>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</si>
  <si>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</si>
  <si>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</si>
  <si>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</si>
  <si>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</si>
  <si>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</si>
  <si>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</si>
  <si>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</si>
  <si>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</si>
  <si>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</si>
  <si>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</si>
  <si>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</si>
  <si>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</si>
  <si>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</si>
  <si>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</si>
  <si>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</si>
  <si>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</si>
  <si>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</si>
  <si>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</si>
  <si>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</si>
  <si>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</si>
  <si>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</si>
  <si>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</si>
  <si>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</si>
  <si>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</si>
  <si>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</si>
  <si>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</si>
  <si>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</si>
  <si>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</si>
  <si>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</si>
  <si>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</si>
  <si>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</si>
  <si>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</si>
  <si>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</si>
  <si>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</si>
  <si>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</si>
  <si>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</si>
  <si>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</si>
  <si>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</si>
  <si>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</si>
  <si>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</si>
  <si>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</si>
  <si>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</si>
  <si>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</si>
  <si>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</si>
  <si>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</si>
  <si>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</si>
  <si>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</si>
  <si>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</si>
  <si>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</si>
  <si>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</si>
  <si>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</si>
  <si>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</si>
  <si>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</si>
  <si>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</si>
  <si>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</si>
  <si>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</si>
  <si>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</si>
  <si>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</si>
  <si>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</si>
  <si>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</si>
  <si>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</si>
  <si>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</si>
  <si>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</si>
  <si>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</si>
  <si>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</si>
  <si>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</si>
  <si>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</si>
  <si>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</si>
  <si>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</si>
  <si>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</si>
  <si>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</si>
  <si>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</si>
  <si>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</si>
  <si>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</si>
  <si>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</si>
  <si>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</si>
  <si>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</si>
  <si>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</si>
  <si>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</si>
  <si>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</si>
  <si>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</si>
  <si>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</si>
  <si>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</si>
  <si>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</si>
  <si>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</si>
  <si>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</si>
  <si>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</si>
  <si>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</si>
  <si>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</si>
  <si>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</si>
  <si>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</si>
  <si>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</si>
  <si>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</si>
  <si>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</si>
  <si>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</si>
  <si>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</si>
  <si>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</si>
  <si>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</si>
  <si>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</si>
  <si>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</si>
  <si>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</si>
  <si>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</si>
  <si>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</si>
  <si>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</si>
  <si>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</si>
  <si>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9 أيام</t>
  </si>
  <si>
    <t>🟢 جارٍ
28,042,623</t>
  </si>
  <si>
    <t>14 يوم</t>
  </si>
  <si>
    <t>10 أيام</t>
  </si>
  <si>
    <t>🔔 قريب</t>
  </si>
  <si>
    <t>⚠ باقي 28 يوم</t>
  </si>
  <si>
    <t>🔔 قريب الاستحقاق
4,995,733</t>
  </si>
  <si>
    <t>11 يوم</t>
  </si>
  <si>
    <t>يومان</t>
  </si>
  <si>
    <t>✅ مسدّد
194,049,435</t>
  </si>
  <si>
    <t>⚠ شيك متأخر 8 يوم</t>
  </si>
  <si>
    <t>⚠ شيك متأخر 3 يوم</t>
  </si>
  <si>
    <t>⚠ مستحق النهاردة</t>
  </si>
  <si>
    <t>⚠ باقي 2 يوم</t>
  </si>
  <si>
    <t>⚠ باقي 9 يوم</t>
  </si>
  <si>
    <t>⚠ باقي 25 يوم</t>
  </si>
  <si>
    <t>⚠ باقي 27 يوم</t>
  </si>
  <si>
    <t>⚠ باقي 31 يوم</t>
  </si>
  <si>
    <t>23 يوم</t>
  </si>
  <si>
    <t>18 يوم</t>
  </si>
  <si>
    <t>15 يوم</t>
  </si>
  <si>
    <t>12 يوم</t>
  </si>
  <si>
    <t>3 أيام</t>
  </si>
  <si>
    <t>🔔 متبقي 4 أيام</t>
  </si>
  <si>
    <t>⚠ متأخر
37,470,351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</si>
</sst>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89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19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49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13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6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1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147</v>
      </c>
      <c r="B2" s="77" t="s">
        <v>129</v>
      </c>
      <c r="C2" s="78"/>
      <c r="D2" s="37" t="s">
        <v>132</v>
      </c>
      <c r="E2" s="38" t="s">
        <v>124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217216244.42777777</v>
      </c>
      <c r="I3" s="61">
        <v>70508707.320029229</v>
      </c>
      <c r="J3" s="61">
        <v>37470351.435818709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141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15405748</v>
      </c>
      <c r="I6" s="55">
        <v>10866038.315789472</v>
      </c>
      <c r="J6" s="55">
        <v>10866038.315789472</v>
      </c>
      <c r="K6" s="57" t="s">
        <v>142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143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143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210429</v>
      </c>
      <c r="I9" s="55">
        <v>953637</v>
      </c>
      <c r="J9" s="55">
        <v>953637</v>
      </c>
      <c r="K9" s="57" t="s">
        <v>143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125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123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123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1655700</v>
      </c>
      <c r="I20" s="55">
        <v>632320</v>
      </c>
      <c r="J20" s="55">
        <v>632320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127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42" priority="37" operator="containsText" text="✓">
      <formula>NOT(ISERROR(SEARCH("✓",F2)))</formula>
    </cfRule>
  </conditionalFormatting>
  <conditionalFormatting sqref="F2">
    <cfRule type="containsText" dxfId="41" priority="38" operator="containsText" text="✗">
      <formula>NOT(ISERROR(SEARCH("✗",F2)))</formula>
    </cfRule>
  </conditionalFormatting>
  <conditionalFormatting sqref="L5">
    <cfRule type="containsText" dxfId="40" priority="31" operator="containsText" text="مسدّد">
      <formula>NOT(ISERROR(SEARCH("مسدّد",L5)))</formula>
    </cfRule>
  </conditionalFormatting>
  <conditionalFormatting sqref="L5">
    <cfRule type="containsText" dxfId="39" priority="32" operator="containsText" text="مستحق">
      <formula>NOT(ISERROR(SEARCH("مستحق",L5)))</formula>
    </cfRule>
  </conditionalFormatting>
  <conditionalFormatting sqref="L5">
    <cfRule type="containsText" dxfId="38" priority="33" operator="containsText" text="قريب">
      <formula>NOT(ISERROR(SEARCH("قريب",L5)))</formula>
    </cfRule>
  </conditionalFormatting>
  <conditionalFormatting sqref="L5">
    <cfRule type="containsText" dxfId="37" priority="34" operator="containsText" text="جار">
      <formula>NOT(ISERROR(SEARCH("جار",L5)))</formula>
    </cfRule>
  </conditionalFormatting>
  <conditionalFormatting sqref="L5">
    <cfRule type="containsText" dxfId="36" priority="35" operator="containsText" text="بدون">
      <formula>NOT(ISERROR(SEARCH("بدون",L5)))</formula>
    </cfRule>
  </conditionalFormatting>
  <conditionalFormatting sqref="J5">
    <cfRule type="cellIs" dxfId="35" priority="36" operator="greaterThan">
      <formula>0</formula>
    </cfRule>
  </conditionalFormatting>
  <conditionalFormatting sqref="L6">
    <cfRule type="containsText" dxfId="34" priority="25" operator="containsText" text="مسدّد">
      <formula>NOT(ISERROR(SEARCH("مسدّد",L6)))</formula>
    </cfRule>
  </conditionalFormatting>
  <conditionalFormatting sqref="L6">
    <cfRule type="containsText" dxfId="33" priority="26" operator="containsText" text="مستحق">
      <formula>NOT(ISERROR(SEARCH("مستحق",L6)))</formula>
    </cfRule>
  </conditionalFormatting>
  <conditionalFormatting sqref="L6">
    <cfRule type="containsText" dxfId="32" priority="27" operator="containsText" text="قريب">
      <formula>NOT(ISERROR(SEARCH("قريب",L6)))</formula>
    </cfRule>
  </conditionalFormatting>
  <conditionalFormatting sqref="L6">
    <cfRule type="containsText" dxfId="31" priority="28" operator="containsText" text="جار">
      <formula>NOT(ISERROR(SEARCH("جار",L6)))</formula>
    </cfRule>
  </conditionalFormatting>
  <conditionalFormatting sqref="L6">
    <cfRule type="containsText" dxfId="30" priority="29" operator="containsText" text="بدون">
      <formula>NOT(ISERROR(SEARCH("بدون",L6)))</formula>
    </cfRule>
  </conditionalFormatting>
  <conditionalFormatting sqref="J6">
    <cfRule type="cellIs" dxfId="29" priority="30" operator="greaterThan">
      <formula>0</formula>
    </cfRule>
  </conditionalFormatting>
  <conditionalFormatting sqref="L7:L10">
    <cfRule type="containsText" dxfId="28" priority="19" operator="containsText" text="مسدّد">
      <formula>NOT(ISERROR(SEARCH("مسدّد",L7)))</formula>
    </cfRule>
  </conditionalFormatting>
  <conditionalFormatting sqref="L7:L10">
    <cfRule type="containsText" dxfId="27" priority="20" operator="containsText" text="مستحق">
      <formula>NOT(ISERROR(SEARCH("مستحق",L7)))</formula>
    </cfRule>
  </conditionalFormatting>
  <conditionalFormatting sqref="L7:L10">
    <cfRule type="containsText" dxfId="26" priority="21" operator="containsText" text="قريب">
      <formula>NOT(ISERROR(SEARCH("قريب",L7)))</formula>
    </cfRule>
  </conditionalFormatting>
  <conditionalFormatting sqref="L7:L10">
    <cfRule type="containsText" dxfId="25" priority="22" operator="containsText" text="جار">
      <formula>NOT(ISERROR(SEARCH("جار",L7)))</formula>
    </cfRule>
  </conditionalFormatting>
  <conditionalFormatting sqref="L7:L10">
    <cfRule type="containsText" dxfId="24" priority="23" operator="containsText" text="بدون">
      <formula>NOT(ISERROR(SEARCH("بدون",L7)))</formula>
    </cfRule>
  </conditionalFormatting>
  <conditionalFormatting sqref="J7:J10">
    <cfRule type="cellIs" dxfId="23" priority="24" operator="greaterThan">
      <formula>0</formula>
    </cfRule>
  </conditionalFormatting>
  <conditionalFormatting sqref="L11:L16">
    <cfRule type="containsText" dxfId="22" priority="13" operator="containsText" text="مسدّد">
      <formula>NOT(ISERROR(SEARCH("مسدّد",L11)))</formula>
    </cfRule>
  </conditionalFormatting>
  <conditionalFormatting sqref="L11:L16">
    <cfRule type="containsText" dxfId="21" priority="14" operator="containsText" text="مستحق">
      <formula>NOT(ISERROR(SEARCH("مستحق",L11)))</formula>
    </cfRule>
  </conditionalFormatting>
  <conditionalFormatting sqref="L11:L16">
    <cfRule type="containsText" dxfId="20" priority="15" operator="containsText" text="قريب">
      <formula>NOT(ISERROR(SEARCH("قريب",L11)))</formula>
    </cfRule>
  </conditionalFormatting>
  <conditionalFormatting sqref="L11:L16">
    <cfRule type="containsText" dxfId="19" priority="16" operator="containsText" text="جار">
      <formula>NOT(ISERROR(SEARCH("جار",L11)))</formula>
    </cfRule>
  </conditionalFormatting>
  <conditionalFormatting sqref="L11:L16">
    <cfRule type="containsText" dxfId="18" priority="17" operator="containsText" text="بدون">
      <formula>NOT(ISERROR(SEARCH("بدون",L11)))</formula>
    </cfRule>
  </conditionalFormatting>
  <conditionalFormatting sqref="J11:J16">
    <cfRule type="cellIs" dxfId="17" priority="18" operator="greaterThan">
      <formula>0</formula>
    </cfRule>
  </conditionalFormatting>
  <conditionalFormatting sqref="L17:L18">
    <cfRule type="containsText" dxfId="16" priority="7" operator="containsText" text="مسدّد">
      <formula>NOT(ISERROR(SEARCH("مسدّد",L17)))</formula>
    </cfRule>
  </conditionalFormatting>
  <conditionalFormatting sqref="L17:L18">
    <cfRule type="containsText" dxfId="15" priority="8" operator="containsText" text="مستحق">
      <formula>NOT(ISERROR(SEARCH("مستحق",L17)))</formula>
    </cfRule>
  </conditionalFormatting>
  <conditionalFormatting sqref="L17:L18">
    <cfRule type="containsText" dxfId="14" priority="9" operator="containsText" text="قريب">
      <formula>NOT(ISERROR(SEARCH("قريب",L17)))</formula>
    </cfRule>
  </conditionalFormatting>
  <conditionalFormatting sqref="L17:L18">
    <cfRule type="containsText" dxfId="13" priority="10" operator="containsText" text="جار">
      <formula>NOT(ISERROR(SEARCH("جار",L17)))</formula>
    </cfRule>
  </conditionalFormatting>
  <conditionalFormatting sqref="L17:L18">
    <cfRule type="containsText" dxfId="12" priority="11" operator="containsText" text="بدون">
      <formula>NOT(ISERROR(SEARCH("بدون",L17)))</formula>
    </cfRule>
  </conditionalFormatting>
  <conditionalFormatting sqref="J17:J18">
    <cfRule type="cellIs" dxfId="11" priority="12" operator="greaterThan">
      <formula>0</formula>
    </cfRule>
  </conditionalFormatting>
  <conditionalFormatting sqref="L19:L36">
    <cfRule type="containsText" dxfId="10" priority="1" operator="containsText" text="مسدّد">
      <formula>NOT(ISERROR(SEARCH("مسدّد",L19)))</formula>
    </cfRule>
  </conditionalFormatting>
  <conditionalFormatting sqref="L19:L36">
    <cfRule type="containsText" dxfId="9" priority="2" operator="containsText" text="مستحق">
      <formula>NOT(ISERROR(SEARCH("مستحق",L19)))</formula>
    </cfRule>
  </conditionalFormatting>
  <conditionalFormatting sqref="L19:L36">
    <cfRule type="containsText" dxfId="8" priority="3" operator="containsText" text="قريب">
      <formula>NOT(ISERROR(SEARCH("قريب",L19)))</formula>
    </cfRule>
  </conditionalFormatting>
  <conditionalFormatting sqref="L19:L36">
    <cfRule type="containsText" dxfId="7" priority="4" operator="containsText" text="جار">
      <formula>NOT(ISERROR(SEARCH("جار",L19)))</formula>
    </cfRule>
  </conditionalFormatting>
  <conditionalFormatting sqref="L19:L36">
    <cfRule type="containsText" dxfId="6" priority="5" operator="containsText" text="بدون">
      <formula>NOT(ISERROR(SEARCH("بدون",L19)))</formula>
    </cfRule>
  </conditionalFormatting>
  <conditionalFormatting sqref="J19:J36">
    <cfRule type="cellIs" dxfId="5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70337950.297807068</v>
      </c>
      <c r="C2" s="82"/>
      <c r="I2" s="3" t="s">
        <v>42</v>
      </c>
      <c r="J2" s="81">
        <f>SUM(J4:J3000)-SUM(K4:K3000)</f>
        <v>-81837275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41462280.282894775</v>
      </c>
      <c r="C6" s="7">
        <v>0</v>
      </c>
    </row>
    <row r="7" spans="1:11" ht="18" customHeight="1" x14ac:dyDescent="0.35">
      <c r="A7" s="6" t="s">
        <v>11</v>
      </c>
      <c r="B7" s="7">
        <v>18472298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37470351.435818709</v>
      </c>
      <c r="D2" s="24">
        <v>10.8125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17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14</v>
      </c>
    </row>
    <row r="6" spans="1:4" x14ac:dyDescent="0.3">
      <c r="A6" s="29" t="s">
        <v>8</v>
      </c>
      <c r="B6" s="26">
        <v>8</v>
      </c>
      <c r="C6" s="27">
        <v>29466515.935818713</v>
      </c>
      <c r="D6" s="28">
        <v>9.5</v>
      </c>
    </row>
    <row r="7" spans="1:4" x14ac:dyDescent="0.3">
      <c r="A7" s="29" t="s">
        <v>11</v>
      </c>
      <c r="B7" s="26">
        <v>5</v>
      </c>
      <c r="C7" s="27">
        <v>7958815</v>
      </c>
      <c r="D7" s="28">
        <v>9.8000000000029104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LKYDFNvNcFdnByReke2+yMlpeOeyqeGVJqHZhjD2TlU+jUJw5Z4oGhxZpz0G9J7nAdaljGyj3Zp/5ElcU3IITA==" saltValue="JIy6iXVPFGvnUZSezWfGx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2026-10-28T08:40:23Z</dcterms:modified>
</cp:coreProperties>
</file>