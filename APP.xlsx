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576" tabRatio="600" firstSheet="1" activeTab="4" autoFilterDateGrouping="1"/>
  </bookViews>
  <sheets>
    <sheet xmlns:r="http://schemas.openxmlformats.org/officeDocument/2006/relationships" name="الشيكات" sheetId="1" state="visible" r:id="rId1"/>
    <sheet xmlns:r="http://schemas.openxmlformats.org/officeDocument/2006/relationships" name="اخر سعر شراء  وبيع" sheetId="2" state="visible" r:id="rId2"/>
    <sheet xmlns:r="http://schemas.openxmlformats.org/officeDocument/2006/relationships" name="العملاء والموردين" sheetId="3" state="visible" r:id="rId3"/>
    <sheet xmlns:r="http://schemas.openxmlformats.org/officeDocument/2006/relationships" name="الرواتب" sheetId="4" state="visible" r:id="rId4"/>
    <sheet xmlns:r="http://schemas.openxmlformats.org/officeDocument/2006/relationships" name="اجمالي متأخرات" sheetId="5" state="visible" r:id="rId5"/>
  </sheets>
  <definedNames/>
  <calcPr calcId="191029" calcMode="manual" fullCalcOnLoad="1"/>
</workbook>
</file>

<file path=xl/styles.xml><?xml version="1.0" encoding="utf-8"?>
<styleSheet xmlns="http://schemas.openxmlformats.org/spreadsheetml/2006/main">
  <numFmts count="6">
    <numFmt numFmtId="164" formatCode="#,##0;;\-"/>
    <numFmt numFmtId="165" formatCode="#,##0;\(#,##0\);\-"/>
    <numFmt numFmtId="166" formatCode="#,##0.0&quot; يوم&quot;;;\-"/>
    <numFmt numFmtId="167" formatCode="dd/mm/yyyy"/>
    <numFmt numFmtId="168" formatCode="DD/MM/YYYY"/>
    <numFmt numFmtId="169" formatCode="yyyy-mm-dd h:mm:ss"/>
  </numFmts>
  <fonts count="1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color theme="1"/>
      <sz val="13"/>
    </font>
    <font>
      <name val="Arial"/>
      <family val="2"/>
      <b val="1"/>
      <color theme="1"/>
      <sz val="11"/>
    </font>
    <font>
      <name val="Arial"/>
      <family val="2"/>
      <color theme="1"/>
      <sz val="10"/>
    </font>
    <font>
      <name val="Arial"/>
      <family val="2"/>
      <b val="1"/>
      <color theme="1"/>
      <sz val="10"/>
    </font>
    <font>
      <name val="Calibri"/>
      <charset val="1"/>
      <family val="2"/>
      <b val="1"/>
      <color rgb="FFFFFFFF"/>
      <sz val="16"/>
    </font>
    <font>
      <name val="Calibri"/>
      <charset val="1"/>
      <family val="2"/>
      <b val="1"/>
      <color rgb="FF9C0006"/>
      <sz val="11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color rgb="FF9C0006"/>
      <sz val="11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14" fontId="0" fillId="0" borderId="0" pivotButton="0" quotePrefix="0" xfId="0"/>
    <xf numFmtId="4" fontId="1" fillId="0" borderId="0" pivotButton="0" quotePrefix="0" xfId="0"/>
    <xf numFmtId="4" fontId="1" fillId="0" borderId="0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4" fontId="2" fillId="2" borderId="1" applyAlignment="1" pivotButton="0" quotePrefix="0" xfId="0">
      <alignment horizontal="center"/>
    </xf>
    <xf numFmtId="0" fontId="2" fillId="0" borderId="1" pivotButton="0" quotePrefix="0" xfId="0"/>
    <xf numFmtId="4" fontId="2" fillId="0" borderId="1" pivotButton="0" quotePrefix="0" xfId="0"/>
    <xf numFmtId="4" fontId="0" fillId="0" borderId="0" pivotButton="0" quotePrefix="0" xfId="0"/>
    <xf numFmtId="0" fontId="3" fillId="4" borderId="2" applyAlignment="1" pivotButton="0" quotePrefix="0" xfId="0">
      <alignment horizontal="center" wrapText="1" readingOrder="2"/>
    </xf>
    <xf numFmtId="0" fontId="3" fillId="4" borderId="3" applyAlignment="1" pivotButton="0" quotePrefix="0" xfId="0">
      <alignment horizontal="center" wrapText="1" readingOrder="2"/>
    </xf>
    <xf numFmtId="0" fontId="3" fillId="5" borderId="3" applyAlignment="1" pivotButton="0" quotePrefix="0" xfId="0">
      <alignment horizontal="center" wrapText="1" readingOrder="2"/>
    </xf>
    <xf numFmtId="0" fontId="3" fillId="6" borderId="3" applyAlignment="1" pivotButton="0" quotePrefix="0" xfId="0">
      <alignment horizontal="center" wrapText="1" readingOrder="2"/>
    </xf>
    <xf numFmtId="0" fontId="4" fillId="0" borderId="4" applyAlignment="1" pivotButton="0" quotePrefix="0" xfId="0">
      <alignment horizontal="center" wrapText="1" readingOrder="2"/>
    </xf>
    <xf numFmtId="0" fontId="5" fillId="0" borderId="5" applyAlignment="1" pivotButton="0" quotePrefix="0" xfId="0">
      <alignment wrapText="1" readingOrder="2"/>
    </xf>
    <xf numFmtId="0" fontId="6" fillId="0" borderId="5" applyAlignment="1" pivotButton="0" quotePrefix="0" xfId="0">
      <alignment horizontal="center" wrapText="1" readingOrder="2"/>
    </xf>
    <xf numFmtId="0" fontId="5" fillId="0" borderId="4" applyAlignment="1" pivotButton="0" quotePrefix="0" xfId="0">
      <alignment wrapText="1" readingOrder="2"/>
    </xf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8" fillId="8" borderId="6" applyAlignment="1" pivotButton="0" quotePrefix="0" xfId="0">
      <alignment horizontal="center"/>
    </xf>
    <xf numFmtId="164" fontId="9" fillId="8" borderId="6" applyAlignment="1" pivotButton="0" quotePrefix="0" xfId="0">
      <alignment horizontal="center"/>
    </xf>
    <xf numFmtId="165" fontId="8" fillId="8" borderId="6" applyAlignment="1" pivotButton="0" quotePrefix="0" xfId="0">
      <alignment horizontal="center"/>
    </xf>
    <xf numFmtId="166" fontId="9" fillId="8" borderId="6" applyAlignment="1" pivotButton="0" quotePrefix="0" xfId="0">
      <alignment horizontal="center"/>
    </xf>
    <xf numFmtId="0" fontId="10" fillId="7" borderId="7" applyAlignment="1" pivotButton="0" quotePrefix="0" xfId="0">
      <alignment horizontal="center"/>
    </xf>
    <xf numFmtId="0" fontId="9" fillId="0" borderId="8" applyAlignment="1" pivotButton="0" quotePrefix="0" xfId="0">
      <alignment horizontal="center"/>
    </xf>
    <xf numFmtId="164" fontId="0" fillId="0" borderId="8" applyAlignment="1" pivotButton="0" quotePrefix="0" xfId="0">
      <alignment horizontal="center"/>
    </xf>
    <xf numFmtId="165" fontId="11" fillId="0" borderId="8" applyAlignment="1" pivotButton="0" quotePrefix="0" xfId="0">
      <alignment horizontal="center"/>
    </xf>
    <xf numFmtId="166" fontId="0" fillId="0" borderId="8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0" fontId="0" fillId="0" borderId="8" pivotButton="0" quotePrefix="0" xfId="0"/>
    <xf numFmtId="0" fontId="1" fillId="0" borderId="0" applyAlignment="1" pivotButton="0" quotePrefix="0" xfId="0">
      <alignment horizontal="center" vertical="center"/>
    </xf>
    <xf numFmtId="4" fontId="1" fillId="0" borderId="1" applyAlignment="1" pivotButton="0" quotePrefix="0" xfId="0">
      <alignment horizontal="center" vertical="center"/>
    </xf>
    <xf numFmtId="4" fontId="1" fillId="0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4" fontId="1" fillId="3" borderId="1" applyAlignment="1" pivotButton="0" quotePrefix="0" xfId="0">
      <alignment horizontal="center"/>
    </xf>
    <xf numFmtId="0" fontId="0" fillId="0" borderId="9" pivotButton="0" quotePrefix="0" xfId="0"/>
    <xf numFmtId="167" fontId="1" fillId="0" borderId="1" applyAlignment="1" pivotButton="0" quotePrefix="0" xfId="0">
      <alignment horizontal="center" vertical="center"/>
    </xf>
    <xf numFmtId="168" fontId="1" fillId="0" borderId="1" applyAlignment="1" pivotButton="0" quotePrefix="0" xfId="0">
      <alignment horizontal="center" vertical="center"/>
    </xf>
    <xf numFmtId="168" fontId="0" fillId="0" borderId="0" pivotButton="0" quotePrefix="0" xfId="0"/>
  </cellXfs>
  <cellStyles count="1">
    <cellStyle name="Normal" xfId="0" builtinId="0"/>
  </cellStyles>
  <dxfs count="3"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2:I19"/>
  <sheetViews>
    <sheetView rightToLeft="1" workbookViewId="0">
      <selection activeCell="G5" sqref="G5"/>
    </sheetView>
  </sheetViews>
  <sheetFormatPr baseColWidth="8" defaultRowHeight="14.4"/>
  <cols>
    <col width="11.21875" bestFit="1" customWidth="1" style="37" min="1" max="1"/>
    <col width="12.5546875" customWidth="1" style="37" min="2" max="2"/>
    <col width="11" bestFit="1" customWidth="1" style="37" min="3" max="3"/>
    <col width="14.6640625" customWidth="1" style="1" min="4" max="4"/>
    <col width="7.21875" bestFit="1" customWidth="1" style="37" min="5" max="5"/>
    <col width="5.6640625" customWidth="1" style="37" min="6" max="6"/>
    <col width="16.5546875" bestFit="1" customWidth="1" style="37" min="7" max="7"/>
    <col width="16.88671875" bestFit="1" customWidth="1" style="37" min="8" max="8"/>
  </cols>
  <sheetData>
    <row r="2">
      <c r="A2" s="17" t="inlineStr">
        <is>
          <t>العميل</t>
        </is>
      </c>
      <c r="B2" s="17" t="inlineStr">
        <is>
          <t>الرقم</t>
        </is>
      </c>
      <c r="C2" s="17" t="inlineStr">
        <is>
          <t>القيمه</t>
        </is>
      </c>
      <c r="D2" s="18" t="inlineStr">
        <is>
          <t>تاريخ الاستحقاق</t>
        </is>
      </c>
      <c r="E2" s="17" t="inlineStr">
        <is>
          <t>البنك</t>
        </is>
      </c>
      <c r="F2" s="17" t="inlineStr">
        <is>
          <t>النوع</t>
        </is>
      </c>
      <c r="G2" s="17" t="inlineStr">
        <is>
          <t>الحاله</t>
        </is>
      </c>
      <c r="H2" s="17" t="inlineStr">
        <is>
          <t>ملاحظات</t>
        </is>
      </c>
      <c r="I2" s="17" t="n"/>
    </row>
    <row r="3">
      <c r="A3" s="19" t="inlineStr">
        <is>
          <t>فالتور</t>
        </is>
      </c>
      <c r="B3" s="19" t="n">
        <v>307385</v>
      </c>
      <c r="C3" s="19" t="n">
        <v>2388000</v>
      </c>
      <c r="D3" s="40" t="n">
        <v>46254</v>
      </c>
      <c r="E3" s="19" t="inlineStr">
        <is>
          <t>NBE</t>
        </is>
      </c>
      <c r="F3" s="19" t="inlineStr">
        <is>
          <t>أ.ق</t>
        </is>
      </c>
      <c r="G3" s="19" t="inlineStr">
        <is>
          <t>⚠ شيك متأخر 31 يوم</t>
        </is>
      </c>
      <c r="H3" s="19" t="inlineStr">
        <is>
          <t>متبقي منه 380021</t>
        </is>
      </c>
      <c r="I3" s="19" t="n"/>
    </row>
    <row r="4">
      <c r="A4" s="19" t="inlineStr">
        <is>
          <t>ويكادي</t>
        </is>
      </c>
      <c r="B4" s="19" t="n">
        <v>554541873</v>
      </c>
      <c r="C4" s="19" t="n">
        <v>1556850</v>
      </c>
      <c r="D4" s="40" t="n">
        <v>46282</v>
      </c>
      <c r="E4" s="19" t="inlineStr">
        <is>
          <t>CIB</t>
        </is>
      </c>
      <c r="F4" s="19" t="inlineStr">
        <is>
          <t>أ.ق</t>
        </is>
      </c>
      <c r="G4" s="19" t="inlineStr">
        <is>
          <t>⚠ شيك متأخر 3 يوم</t>
        </is>
      </c>
      <c r="H4" s="19" t="n"/>
      <c r="I4" s="19" t="n"/>
    </row>
    <row r="5">
      <c r="A5" s="19" t="inlineStr">
        <is>
          <t>فالتور</t>
        </is>
      </c>
      <c r="B5" s="19" t="n">
        <v>307379</v>
      </c>
      <c r="C5" s="19" t="n">
        <v>2388000</v>
      </c>
      <c r="D5" s="40" t="n">
        <v>46285</v>
      </c>
      <c r="E5" s="19" t="inlineStr">
        <is>
          <t>NBE</t>
        </is>
      </c>
      <c r="F5" s="19" t="inlineStr">
        <is>
          <t>أ.ق</t>
        </is>
      </c>
      <c r="G5" s="19" t="inlineStr">
        <is>
          <t>⚠ مستحق النهاردة</t>
        </is>
      </c>
      <c r="H5" s="19" t="n"/>
      <c r="I5" s="19" t="n"/>
    </row>
    <row r="6">
      <c r="A6" s="19" t="inlineStr">
        <is>
          <t>فالتور</t>
        </is>
      </c>
      <c r="B6" s="19" t="n">
        <v>307383</v>
      </c>
      <c r="C6" s="19" t="n">
        <v>13300000</v>
      </c>
      <c r="D6" s="40" t="n">
        <v>46291</v>
      </c>
      <c r="E6" s="19" t="inlineStr">
        <is>
          <t>NBE</t>
        </is>
      </c>
      <c r="F6" s="19" t="inlineStr">
        <is>
          <t>أ.ق</t>
        </is>
      </c>
      <c r="G6" s="19" t="inlineStr">
        <is>
          <t>⚠ باقي 6 يوم</t>
        </is>
      </c>
      <c r="H6" s="19" t="n"/>
      <c r="I6" s="19" t="n"/>
    </row>
    <row r="7">
      <c r="A7" s="19" t="inlineStr">
        <is>
          <t>خالد صبري</t>
        </is>
      </c>
      <c r="B7" s="19" t="n">
        <v>532937070</v>
      </c>
      <c r="C7" s="19" t="n">
        <v>3971430</v>
      </c>
      <c r="D7" s="40" t="n">
        <v>46294</v>
      </c>
      <c r="E7" s="19" t="inlineStr">
        <is>
          <t>CIB</t>
        </is>
      </c>
      <c r="F7" s="19" t="inlineStr">
        <is>
          <t>أ.ق</t>
        </is>
      </c>
      <c r="G7" s="19" t="inlineStr">
        <is>
          <t>⚠ باقي 9 يوم</t>
        </is>
      </c>
      <c r="H7" s="19" t="n"/>
      <c r="I7" s="19" t="n"/>
    </row>
    <row r="8">
      <c r="A8" s="19" t="inlineStr">
        <is>
          <t>فالتور</t>
        </is>
      </c>
      <c r="B8" s="19" t="n">
        <v>307380</v>
      </c>
      <c r="C8" s="19" t="n">
        <v>7857894</v>
      </c>
      <c r="D8" s="40" t="n">
        <v>46301</v>
      </c>
      <c r="E8" s="19" t="inlineStr">
        <is>
          <t>NBE</t>
        </is>
      </c>
      <c r="F8" s="19" t="inlineStr">
        <is>
          <t>أ.ق</t>
        </is>
      </c>
      <c r="G8" s="19" t="inlineStr">
        <is>
          <t>⚠ باقي 16 يوم</t>
        </is>
      </c>
      <c r="H8" s="19" t="n"/>
      <c r="I8" s="19" t="n"/>
    </row>
    <row r="9">
      <c r="A9" s="19" t="inlineStr">
        <is>
          <t>خالد صبري</t>
        </is>
      </c>
      <c r="B9" s="19" t="n">
        <v>532937100</v>
      </c>
      <c r="C9" s="19" t="n">
        <v>5043144</v>
      </c>
      <c r="D9" s="40" t="n">
        <v>46305</v>
      </c>
      <c r="E9" s="19" t="inlineStr">
        <is>
          <t>CIB</t>
        </is>
      </c>
      <c r="F9" s="19" t="inlineStr">
        <is>
          <t>أ.ق</t>
        </is>
      </c>
      <c r="G9" s="19" t="inlineStr">
        <is>
          <t>⚠ باقي 20 يوم</t>
        </is>
      </c>
      <c r="H9" s="19" t="n"/>
      <c r="I9" s="19" t="n"/>
    </row>
    <row r="10">
      <c r="A10" s="19" t="inlineStr">
        <is>
          <t>خالد صبري</t>
        </is>
      </c>
      <c r="B10" s="19" t="n">
        <v>9165752</v>
      </c>
      <c r="C10" s="19" t="n">
        <v>3979312.84</v>
      </c>
      <c r="D10" s="40" t="n">
        <v>46312</v>
      </c>
      <c r="E10" s="19" t="inlineStr">
        <is>
          <t>BM</t>
        </is>
      </c>
      <c r="F10" s="19" t="inlineStr">
        <is>
          <t>أ.ق</t>
        </is>
      </c>
      <c r="G10" s="19" t="inlineStr">
        <is>
          <t>⚠ باقي 27 يوم</t>
        </is>
      </c>
      <c r="H10" s="19" t="n"/>
      <c r="I10" s="19" t="n"/>
    </row>
    <row r="11">
      <c r="A11" s="19" t="inlineStr">
        <is>
          <t>فالتور</t>
        </is>
      </c>
      <c r="B11" s="19" t="n">
        <v>307381</v>
      </c>
      <c r="C11" s="19" t="n">
        <v>2388000</v>
      </c>
      <c r="D11" s="40" t="n">
        <v>46315</v>
      </c>
      <c r="E11" s="19" t="inlineStr">
        <is>
          <t>NBE</t>
        </is>
      </c>
      <c r="F11" s="19" t="inlineStr">
        <is>
          <t>أ.ق</t>
        </is>
      </c>
      <c r="G11" s="19" t="inlineStr">
        <is>
          <t>⚠ باقي 30 يوم</t>
        </is>
      </c>
      <c r="H11" s="19" t="n"/>
      <c r="I11" s="19" t="n"/>
    </row>
    <row r="12">
      <c r="A12" s="19" t="inlineStr">
        <is>
          <t>الشركة المتحده</t>
        </is>
      </c>
      <c r="B12" s="19" t="n">
        <v>2798976</v>
      </c>
      <c r="C12" s="19" t="n">
        <v>17745354</v>
      </c>
      <c r="D12" s="40" t="n">
        <v>46317</v>
      </c>
      <c r="E12" s="19" t="inlineStr">
        <is>
          <t>aib</t>
        </is>
      </c>
      <c r="F12" s="19" t="inlineStr">
        <is>
          <t>أ.ق</t>
        </is>
      </c>
      <c r="G12" s="19" t="inlineStr">
        <is>
          <t>⚠ باقي 32 يوم</t>
        </is>
      </c>
      <c r="H12" s="19" t="n"/>
      <c r="I12" s="19" t="n"/>
    </row>
    <row r="13">
      <c r="A13" s="19" t="inlineStr">
        <is>
          <t>فالتور</t>
        </is>
      </c>
      <c r="B13" s="19" t="n">
        <v>307384</v>
      </c>
      <c r="C13" s="19" t="n">
        <v>13300000</v>
      </c>
      <c r="D13" s="40" t="n">
        <v>46321</v>
      </c>
      <c r="E13" s="19" t="inlineStr">
        <is>
          <t>NBE</t>
        </is>
      </c>
      <c r="F13" s="19" t="inlineStr">
        <is>
          <t>أ.ق</t>
        </is>
      </c>
      <c r="G13" s="19" t="inlineStr">
        <is>
          <t>⚠ باقي 36 يوم</t>
        </is>
      </c>
      <c r="H13" s="19" t="n"/>
      <c r="I13" s="19" t="n"/>
    </row>
    <row r="14">
      <c r="A14" s="19" t="inlineStr">
        <is>
          <t>سامكريت مصر</t>
        </is>
      </c>
      <c r="B14" s="19" t="n">
        <v>13249953</v>
      </c>
      <c r="C14" s="19" t="n">
        <v>7167694.63</v>
      </c>
      <c r="D14" s="40" t="n">
        <v>46321</v>
      </c>
      <c r="E14" s="19" t="inlineStr">
        <is>
          <t>NBE</t>
        </is>
      </c>
      <c r="F14" s="19" t="inlineStr">
        <is>
          <t>أ.ق</t>
        </is>
      </c>
      <c r="G14" s="19" t="inlineStr">
        <is>
          <t>⚠ باقي 36 يوم</t>
        </is>
      </c>
      <c r="H14" s="19" t="n"/>
      <c r="I14" s="19" t="n"/>
    </row>
    <row r="15">
      <c r="A15" s="19" t="n"/>
      <c r="B15" s="19" t="n"/>
      <c r="C15" s="19" t="n"/>
      <c r="D15" s="20" t="n"/>
      <c r="E15" s="19" t="n"/>
      <c r="F15" s="19" t="n"/>
      <c r="G15" s="19" t="n"/>
      <c r="H15" s="19" t="n"/>
      <c r="I15" s="19" t="n"/>
    </row>
    <row r="16">
      <c r="A16" s="19" t="n"/>
      <c r="B16" s="19" t="n"/>
      <c r="C16" s="19" t="n"/>
      <c r="D16" s="20" t="n"/>
      <c r="E16" s="19" t="n"/>
      <c r="F16" s="19" t="n"/>
      <c r="G16" s="19" t="n"/>
      <c r="H16" s="19" t="n"/>
      <c r="I16" s="19" t="n"/>
    </row>
    <row r="17">
      <c r="A17" s="19" t="n"/>
      <c r="B17" s="19" t="n"/>
      <c r="C17" s="19" t="n"/>
      <c r="D17" s="20" t="n"/>
      <c r="E17" s="19" t="n"/>
      <c r="F17" s="19" t="n"/>
      <c r="G17" s="19" t="n"/>
      <c r="H17" s="19" t="n"/>
      <c r="I17" s="19" t="n"/>
    </row>
    <row r="18">
      <c r="A18" s="19" t="n"/>
      <c r="B18" s="19" t="n"/>
      <c r="C18" s="19" t="n"/>
      <c r="D18" s="20" t="n"/>
      <c r="E18" s="19" t="n"/>
      <c r="F18" s="19" t="n"/>
      <c r="G18" s="19" t="n"/>
      <c r="H18" s="19" t="n"/>
      <c r="I18" s="19" t="n"/>
    </row>
    <row r="19">
      <c r="A19" s="19" t="n"/>
      <c r="B19" s="19" t="n"/>
      <c r="C19" s="19" t="n"/>
      <c r="D19" s="20" t="n"/>
      <c r="E19" s="19" t="n"/>
      <c r="F19" s="19" t="n"/>
      <c r="G19" s="19" t="n"/>
      <c r="H19" s="19" t="n"/>
      <c r="I19" s="19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 codeName="Sheet5">
    <outlinePr summaryBelow="1" summaryRight="1"/>
    <pageSetUpPr/>
  </sheetPr>
  <dimension ref="A2:H3000"/>
  <sheetViews>
    <sheetView rightToLeft="1" workbookViewId="0">
      <selection activeCell="E6" sqref="E6"/>
    </sheetView>
  </sheetViews>
  <sheetFormatPr baseColWidth="8" defaultRowHeight="14.4"/>
  <cols>
    <col width="11.21875" customWidth="1" style="32" min="1" max="1"/>
    <col width="11.6640625" customWidth="1" style="34" min="2" max="2"/>
    <col width="9.109375" bestFit="1" customWidth="1" style="34" min="3" max="3"/>
    <col width="13" customWidth="1" style="32" min="4" max="4"/>
    <col width="35.77734375" bestFit="1" customWidth="1" style="32" min="5" max="5"/>
    <col width="14.21875" customWidth="1" style="32" min="6" max="6"/>
    <col width="12.88671875" bestFit="1" customWidth="1" style="37" min="7" max="7"/>
    <col width="12.21875" bestFit="1" customWidth="1" style="37" min="8" max="8"/>
  </cols>
  <sheetData>
    <row r="2">
      <c r="A2" s="19" t="inlineStr">
        <is>
          <t>اسم العميل</t>
        </is>
      </c>
      <c r="B2" s="33" t="inlineStr">
        <is>
          <t>سعر شراء</t>
        </is>
      </c>
      <c r="C2" s="33" t="inlineStr">
        <is>
          <t>سعر بيع</t>
        </is>
      </c>
      <c r="D2" s="19" t="inlineStr">
        <is>
          <t>رقم امر البيع</t>
        </is>
      </c>
      <c r="E2" s="19" t="inlineStr">
        <is>
          <t>اخر طريقة السداد</t>
        </is>
      </c>
      <c r="F2" s="19" t="inlineStr">
        <is>
          <t>تاريخ اخر فاتورة</t>
        </is>
      </c>
      <c r="G2" s="19" t="inlineStr">
        <is>
          <t>إجمالي سعر الشراء</t>
        </is>
      </c>
      <c r="H2" s="19" t="inlineStr">
        <is>
          <t>إجمالي سعر البيع</t>
        </is>
      </c>
    </row>
    <row r="3">
      <c r="A3" s="19" t="inlineStr">
        <is>
          <t>خالد صبري</t>
        </is>
      </c>
      <c r="B3" s="33" t="n">
        <v>39450</v>
      </c>
      <c r="C3" s="33" t="n">
        <v>40300</v>
      </c>
      <c r="D3" s="19" t="n">
        <v>1</v>
      </c>
      <c r="E3" s="19" t="inlineStr">
        <is>
          <t>شيك 60يوم</t>
        </is>
      </c>
      <c r="F3" s="41" t="n">
        <v>46200</v>
      </c>
      <c r="G3" t="n">
        <v>537703.5</v>
      </c>
      <c r="H3" t="n">
        <v>549289</v>
      </c>
    </row>
    <row r="4">
      <c r="A4" s="19" t="inlineStr">
        <is>
          <t>خالد صبري</t>
        </is>
      </c>
      <c r="B4" s="33" t="n">
        <v>39450</v>
      </c>
      <c r="C4" s="33" t="n">
        <v>40300</v>
      </c>
      <c r="D4" s="19" t="n">
        <v>1</v>
      </c>
      <c r="E4" s="19" t="inlineStr">
        <is>
          <t>شيك 60يوم</t>
        </is>
      </c>
      <c r="F4" s="41" t="n">
        <v>46200</v>
      </c>
      <c r="G4" t="n">
        <v>1384300.5</v>
      </c>
      <c r="H4" t="n">
        <v>1414127</v>
      </c>
    </row>
    <row r="5">
      <c r="A5" s="19" t="inlineStr">
        <is>
          <t>سامكريت مصر</t>
        </is>
      </c>
      <c r="B5" s="33" t="n">
        <v>41000</v>
      </c>
      <c r="C5" s="33" t="n">
        <v>42500</v>
      </c>
      <c r="D5" s="19" t="n">
        <v>19</v>
      </c>
      <c r="E5" s="19" t="inlineStr">
        <is>
          <t>شيك 60يوم</t>
        </is>
      </c>
      <c r="F5" s="41" t="n">
        <v>46209</v>
      </c>
      <c r="G5" t="n">
        <v>559240</v>
      </c>
      <c r="H5" t="n">
        <v>579700</v>
      </c>
    </row>
    <row r="6">
      <c r="A6" s="19" t="inlineStr">
        <is>
          <t>سامكريت مصر</t>
        </is>
      </c>
      <c r="B6" s="33" t="n">
        <v>41000</v>
      </c>
      <c r="C6" s="33" t="n">
        <v>42500</v>
      </c>
      <c r="D6" s="19" t="n">
        <v>19</v>
      </c>
      <c r="E6" s="19" t="inlineStr">
        <is>
          <t>شيك 60يوم</t>
        </is>
      </c>
      <c r="F6" s="41" t="n">
        <v>46209</v>
      </c>
      <c r="G6" t="n">
        <v>558420</v>
      </c>
      <c r="H6" t="n">
        <v>578850</v>
      </c>
    </row>
    <row r="7">
      <c r="A7" s="19" t="inlineStr">
        <is>
          <t>سامكريت مصر</t>
        </is>
      </c>
      <c r="B7" s="33" t="n">
        <v>41000</v>
      </c>
      <c r="C7" s="33" t="n">
        <v>42500</v>
      </c>
      <c r="D7" s="19" t="n">
        <v>19</v>
      </c>
      <c r="E7" s="19" t="inlineStr">
        <is>
          <t>شيك 60يوم</t>
        </is>
      </c>
      <c r="F7" s="41" t="n">
        <v>46209</v>
      </c>
      <c r="G7" t="n">
        <v>1205400</v>
      </c>
      <c r="H7" t="n">
        <v>1249500</v>
      </c>
    </row>
    <row r="8" hidden="1" s="37">
      <c r="A8" s="19" t="inlineStr">
        <is>
          <t>سامكريت مصر</t>
        </is>
      </c>
      <c r="B8" s="33" t="n">
        <v>41000</v>
      </c>
      <c r="C8" s="33" t="n">
        <v>42500</v>
      </c>
      <c r="D8" s="19" t="n">
        <v>19</v>
      </c>
      <c r="E8" s="19" t="inlineStr">
        <is>
          <t>شيك 60يوم</t>
        </is>
      </c>
      <c r="F8" s="41" t="n">
        <v>46209</v>
      </c>
      <c r="G8" t="n">
        <v>638780</v>
      </c>
      <c r="H8" t="n">
        <v>662150</v>
      </c>
    </row>
    <row r="9">
      <c r="A9" s="19" t="inlineStr">
        <is>
          <t>فالتور</t>
        </is>
      </c>
      <c r="B9" s="33" t="n">
        <v>40000</v>
      </c>
      <c r="C9" s="33" t="n">
        <v>40200</v>
      </c>
      <c r="D9" s="19" t="n">
        <v>3</v>
      </c>
      <c r="E9" s="19" t="inlineStr">
        <is>
          <t>شيك 90 يوم</t>
        </is>
      </c>
      <c r="F9" s="41" t="n">
        <v>46211</v>
      </c>
      <c r="G9" t="n">
        <v>316800</v>
      </c>
      <c r="H9" t="n">
        <v>318384</v>
      </c>
    </row>
    <row r="10">
      <c r="A10" s="19" t="inlineStr">
        <is>
          <t>فالتور</t>
        </is>
      </c>
      <c r="B10" s="33" t="n">
        <v>40000</v>
      </c>
      <c r="C10" s="33" t="n">
        <v>40200</v>
      </c>
      <c r="D10" s="19" t="n">
        <v>3</v>
      </c>
      <c r="E10" s="19" t="inlineStr">
        <is>
          <t>شيك 90 يوم</t>
        </is>
      </c>
      <c r="F10" s="41" t="n">
        <v>46211</v>
      </c>
      <c r="G10" t="n">
        <v>1030400</v>
      </c>
      <c r="H10" t="n">
        <v>1035552</v>
      </c>
    </row>
    <row r="11">
      <c r="A11" s="19" t="inlineStr">
        <is>
          <t>فالتور</t>
        </is>
      </c>
      <c r="B11" s="33" t="n">
        <v>40000</v>
      </c>
      <c r="C11" s="33" t="n">
        <v>40200</v>
      </c>
      <c r="D11" s="19" t="n">
        <v>3</v>
      </c>
      <c r="E11" s="19" t="inlineStr">
        <is>
          <t>شيك 90 يوم</t>
        </is>
      </c>
      <c r="F11" s="41" t="n">
        <v>46211</v>
      </c>
      <c r="G11" t="n">
        <v>389600</v>
      </c>
      <c r="H11" t="n">
        <v>391548</v>
      </c>
    </row>
    <row r="12">
      <c r="A12" s="19" t="inlineStr">
        <is>
          <t>فالتور</t>
        </is>
      </c>
      <c r="B12" s="33" t="n">
        <v>40000</v>
      </c>
      <c r="C12" s="33" t="n">
        <v>40200</v>
      </c>
      <c r="D12" s="19" t="n">
        <v>3</v>
      </c>
      <c r="E12" s="19" t="inlineStr">
        <is>
          <t>شيك 90 يوم</t>
        </is>
      </c>
      <c r="F12" s="41" t="n">
        <v>46211</v>
      </c>
      <c r="G12" t="n">
        <v>257000</v>
      </c>
      <c r="H12" t="n">
        <v>258285</v>
      </c>
    </row>
    <row r="13">
      <c r="A13" s="19" t="inlineStr">
        <is>
          <t>فالتور</t>
        </is>
      </c>
      <c r="B13" s="33" t="n">
        <v>40000</v>
      </c>
      <c r="C13" s="33" t="n">
        <v>40200</v>
      </c>
      <c r="D13" s="19" t="n">
        <v>3</v>
      </c>
      <c r="E13" s="19" t="inlineStr">
        <is>
          <t>شيك 90 يوم</t>
        </is>
      </c>
      <c r="F13" s="41" t="n">
        <v>46211</v>
      </c>
      <c r="G13" t="n">
        <v>791600</v>
      </c>
      <c r="H13" t="n">
        <v>795558</v>
      </c>
    </row>
    <row r="14">
      <c r="A14" s="19" t="inlineStr">
        <is>
          <t>فالتور</t>
        </is>
      </c>
      <c r="B14" s="33" t="n">
        <v>40000</v>
      </c>
      <c r="C14" s="33" t="n">
        <v>40200</v>
      </c>
      <c r="D14" s="19" t="n">
        <v>3</v>
      </c>
      <c r="E14" s="19" t="inlineStr">
        <is>
          <t>شيك 90 يوم</t>
        </is>
      </c>
      <c r="F14" s="41" t="n">
        <v>46211</v>
      </c>
      <c r="G14" t="n">
        <v>790800</v>
      </c>
      <c r="H14" t="n">
        <v>794754</v>
      </c>
    </row>
    <row r="15">
      <c r="A15" s="19" t="inlineStr">
        <is>
          <t>فالتور</t>
        </is>
      </c>
      <c r="B15" s="33" t="n">
        <v>40000</v>
      </c>
      <c r="C15" s="33" t="n">
        <v>40200</v>
      </c>
      <c r="D15" s="19" t="n">
        <v>3</v>
      </c>
      <c r="E15" s="19" t="inlineStr">
        <is>
          <t>شيك 90 يوم</t>
        </is>
      </c>
      <c r="F15" s="41" t="n">
        <v>46211</v>
      </c>
      <c r="G15" t="n">
        <v>77600</v>
      </c>
      <c r="H15" t="n">
        <v>77988</v>
      </c>
    </row>
    <row r="16">
      <c r="A16" s="19" t="inlineStr">
        <is>
          <t>فالتور</t>
        </is>
      </c>
      <c r="B16" s="33" t="n">
        <v>40000</v>
      </c>
      <c r="C16" s="33" t="n">
        <v>40200</v>
      </c>
      <c r="D16" s="19" t="n">
        <v>3</v>
      </c>
      <c r="E16" s="19" t="inlineStr">
        <is>
          <t>شيك 90 يوم</t>
        </is>
      </c>
      <c r="F16" s="41" t="n">
        <v>46211</v>
      </c>
      <c r="G16" t="n">
        <v>192000</v>
      </c>
      <c r="H16" t="n">
        <v>192960</v>
      </c>
    </row>
    <row r="17">
      <c r="A17" s="19" t="inlineStr">
        <is>
          <t>فالتور</t>
        </is>
      </c>
      <c r="B17" s="33" t="n">
        <v>40000</v>
      </c>
      <c r="C17" s="33" t="n">
        <v>40200</v>
      </c>
      <c r="D17" s="19" t="n">
        <v>3</v>
      </c>
      <c r="E17" s="19" t="inlineStr">
        <is>
          <t>شيك 90 يوم</t>
        </is>
      </c>
      <c r="F17" s="41" t="n">
        <v>46211</v>
      </c>
      <c r="G17" t="n">
        <v>236400</v>
      </c>
      <c r="H17" t="n">
        <v>237582</v>
      </c>
    </row>
    <row r="18">
      <c r="A18" s="19" t="inlineStr">
        <is>
          <t>فالتور</t>
        </is>
      </c>
      <c r="B18" s="33" t="n">
        <v>40000</v>
      </c>
      <c r="C18" s="33" t="n">
        <v>40200</v>
      </c>
      <c r="D18" s="19" t="n">
        <v>3</v>
      </c>
      <c r="E18" s="19" t="inlineStr">
        <is>
          <t>شيك 90 يوم</t>
        </is>
      </c>
      <c r="F18" s="41" t="n">
        <v>46211</v>
      </c>
      <c r="G18" t="n">
        <v>872000</v>
      </c>
      <c r="H18" t="n">
        <v>876360</v>
      </c>
    </row>
    <row r="19">
      <c r="A19" s="19" t="inlineStr">
        <is>
          <t>فالتور</t>
        </is>
      </c>
      <c r="B19" s="33" t="n">
        <v>40000</v>
      </c>
      <c r="C19" s="33" t="n">
        <v>40200</v>
      </c>
      <c r="D19" s="19" t="n">
        <v>3</v>
      </c>
      <c r="E19" s="19" t="inlineStr">
        <is>
          <t>شيك 90 يوم</t>
        </is>
      </c>
      <c r="F19" s="41" t="n">
        <v>46211</v>
      </c>
      <c r="G19" t="n">
        <v>625200</v>
      </c>
      <c r="H19" t="n">
        <v>628326</v>
      </c>
    </row>
    <row r="20">
      <c r="A20" s="19" t="inlineStr">
        <is>
          <t>فالتور</t>
        </is>
      </c>
      <c r="B20" s="33" t="n">
        <v>40000</v>
      </c>
      <c r="C20" s="33" t="n">
        <v>40200</v>
      </c>
      <c r="D20" s="19" t="n">
        <v>3</v>
      </c>
      <c r="E20" s="19" t="inlineStr">
        <is>
          <t>شيك 90 يوم</t>
        </is>
      </c>
      <c r="F20" s="41" t="n">
        <v>46211</v>
      </c>
      <c r="G20" t="n">
        <v>254800</v>
      </c>
      <c r="H20" t="n">
        <v>256074</v>
      </c>
    </row>
    <row r="21">
      <c r="A21" s="19" t="inlineStr">
        <is>
          <t>فالتور</t>
        </is>
      </c>
      <c r="B21" s="33" t="n">
        <v>40000</v>
      </c>
      <c r="C21" s="33" t="n">
        <v>40200</v>
      </c>
      <c r="D21" s="19" t="n">
        <v>3</v>
      </c>
      <c r="E21" s="19" t="inlineStr">
        <is>
          <t>شيك 90 يوم</t>
        </is>
      </c>
      <c r="F21" s="41" t="n">
        <v>46211</v>
      </c>
      <c r="G21" t="n">
        <v>314400</v>
      </c>
      <c r="H21" t="n">
        <v>315972</v>
      </c>
    </row>
    <row r="22">
      <c r="A22" s="19" t="inlineStr">
        <is>
          <t>فالتور</t>
        </is>
      </c>
      <c r="B22" s="33" t="n">
        <v>40000</v>
      </c>
      <c r="C22" s="33" t="n">
        <v>40200</v>
      </c>
      <c r="D22" s="19" t="n">
        <v>3</v>
      </c>
      <c r="E22" s="19" t="inlineStr">
        <is>
          <t>شيك 90 يوم</t>
        </is>
      </c>
      <c r="F22" s="41" t="n">
        <v>46211</v>
      </c>
      <c r="G22" t="n">
        <v>1029600</v>
      </c>
      <c r="H22" t="n">
        <v>1034748</v>
      </c>
    </row>
    <row r="23">
      <c r="A23" s="19" t="inlineStr">
        <is>
          <t>فالتور</t>
        </is>
      </c>
      <c r="B23" s="33" t="n">
        <v>40000</v>
      </c>
      <c r="C23" s="33" t="n">
        <v>40200</v>
      </c>
      <c r="D23" s="19" t="n">
        <v>3</v>
      </c>
      <c r="E23" s="19" t="inlineStr">
        <is>
          <t>شيك 90 يوم</t>
        </is>
      </c>
      <c r="F23" s="41" t="n">
        <v>46211</v>
      </c>
      <c r="G23" t="n">
        <v>384799.9999999999</v>
      </c>
      <c r="H23" t="n">
        <v>386723.9999999999</v>
      </c>
    </row>
    <row r="24">
      <c r="A24" t="inlineStr">
        <is>
          <t>فالتور</t>
        </is>
      </c>
      <c r="B24" t="n">
        <v>40000</v>
      </c>
      <c r="C24" t="n">
        <v>40200</v>
      </c>
      <c r="D24" t="n">
        <v>3</v>
      </c>
      <c r="E24" t="inlineStr">
        <is>
          <t>شيك 90 يوم</t>
        </is>
      </c>
      <c r="F24" s="42" t="n">
        <v>46211</v>
      </c>
      <c r="G24" t="n">
        <v>255800</v>
      </c>
      <c r="H24" t="n">
        <v>257079</v>
      </c>
    </row>
    <row r="25">
      <c r="A25" t="inlineStr">
        <is>
          <t>ويكادي</t>
        </is>
      </c>
      <c r="B25" t="n">
        <v>38100</v>
      </c>
      <c r="C25" t="n">
        <v>38100</v>
      </c>
      <c r="D25" t="n">
        <v>18</v>
      </c>
      <c r="E25" t="inlineStr">
        <is>
          <t>كاش 25% - شيك شهر</t>
        </is>
      </c>
      <c r="F25" s="42" t="n">
        <v>46217</v>
      </c>
      <c r="G25" t="n">
        <v>74295</v>
      </c>
      <c r="H25" t="n">
        <v>74295</v>
      </c>
    </row>
    <row r="26">
      <c r="A26" t="inlineStr">
        <is>
          <t>ويكادي</t>
        </is>
      </c>
      <c r="B26" t="n">
        <v>38100</v>
      </c>
      <c r="C26" t="n">
        <v>38100</v>
      </c>
      <c r="D26" t="n">
        <v>18</v>
      </c>
      <c r="E26" t="inlineStr">
        <is>
          <t>كاش 25% - شيك شهر</t>
        </is>
      </c>
      <c r="F26" s="42" t="n">
        <v>46217</v>
      </c>
      <c r="G26" t="n">
        <v>1496568</v>
      </c>
      <c r="H26" t="n">
        <v>1496568</v>
      </c>
    </row>
    <row r="27">
      <c r="A27" t="inlineStr">
        <is>
          <t>ويكادي</t>
        </is>
      </c>
      <c r="B27" t="n">
        <v>38100</v>
      </c>
      <c r="C27" t="n">
        <v>38100</v>
      </c>
      <c r="D27" t="n">
        <v>18</v>
      </c>
      <c r="E27" t="inlineStr">
        <is>
          <t>كاش 25% - شيك شهر</t>
        </is>
      </c>
      <c r="F27" s="42" t="n">
        <v>46217</v>
      </c>
      <c r="G27" t="n">
        <v>374523</v>
      </c>
      <c r="H27" t="n">
        <v>374523</v>
      </c>
    </row>
    <row r="28">
      <c r="A28" t="inlineStr">
        <is>
          <t>ويكادي</t>
        </is>
      </c>
      <c r="B28" t="n">
        <v>38100</v>
      </c>
      <c r="C28" t="n">
        <v>38100</v>
      </c>
      <c r="D28" t="n">
        <v>18</v>
      </c>
      <c r="E28" t="inlineStr">
        <is>
          <t>كاش 25% - شيك شهر</t>
        </is>
      </c>
      <c r="F28" s="42" t="n">
        <v>46217</v>
      </c>
      <c r="G28" t="n">
        <v>2649474</v>
      </c>
      <c r="H28" t="n">
        <v>2649474</v>
      </c>
    </row>
    <row r="29">
      <c r="A29" t="inlineStr">
        <is>
          <t>بيراميدز</t>
        </is>
      </c>
      <c r="B29" t="n">
        <v>37500</v>
      </c>
      <c r="C29" t="n">
        <v>37600</v>
      </c>
      <c r="D29" t="inlineStr">
        <is>
          <t>9--4</t>
        </is>
      </c>
      <c r="E29" t="inlineStr">
        <is>
          <t>كاش 100%</t>
        </is>
      </c>
      <c r="F29" s="42" t="n">
        <v>46221</v>
      </c>
      <c r="G29" t="n">
        <v>895875</v>
      </c>
      <c r="H29" t="n">
        <v>898264</v>
      </c>
    </row>
    <row r="30">
      <c r="A30" t="inlineStr">
        <is>
          <t>بيراميدز</t>
        </is>
      </c>
      <c r="B30" t="n">
        <v>37500</v>
      </c>
      <c r="C30" t="n">
        <v>37600</v>
      </c>
      <c r="D30" t="inlineStr">
        <is>
          <t>9--4</t>
        </is>
      </c>
      <c r="E30" t="inlineStr">
        <is>
          <t>كاش 100%</t>
        </is>
      </c>
      <c r="F30" s="42" t="n">
        <v>46221</v>
      </c>
      <c r="G30" t="n">
        <v>443250</v>
      </c>
      <c r="H30" t="n">
        <v>444432</v>
      </c>
    </row>
    <row r="31">
      <c r="A31" t="inlineStr">
        <is>
          <t>بيراميدز</t>
        </is>
      </c>
      <c r="B31" t="n">
        <v>37500</v>
      </c>
      <c r="C31" t="n">
        <v>37600</v>
      </c>
      <c r="D31" t="inlineStr">
        <is>
          <t>9--4</t>
        </is>
      </c>
      <c r="E31" t="inlineStr">
        <is>
          <t>كاش 100%</t>
        </is>
      </c>
      <c r="F31" s="42" t="n">
        <v>46221</v>
      </c>
      <c r="G31" t="n">
        <v>805125</v>
      </c>
      <c r="H31" t="n">
        <v>807272</v>
      </c>
    </row>
    <row r="32">
      <c r="A32" t="inlineStr">
        <is>
          <t>بيراميدز</t>
        </is>
      </c>
      <c r="B32" t="n">
        <v>37500</v>
      </c>
      <c r="C32" t="n">
        <v>37600</v>
      </c>
      <c r="D32" t="inlineStr">
        <is>
          <t>9--4</t>
        </is>
      </c>
      <c r="E32" t="inlineStr">
        <is>
          <t>كاش 100%</t>
        </is>
      </c>
      <c r="F32" s="42" t="n">
        <v>46217</v>
      </c>
      <c r="G32" t="n">
        <v>1117125</v>
      </c>
      <c r="H32" t="n">
        <v>1120104</v>
      </c>
    </row>
    <row r="33">
      <c r="A33" t="inlineStr">
        <is>
          <t>بيراميدز</t>
        </is>
      </c>
      <c r="B33" t="n">
        <v>37500</v>
      </c>
      <c r="C33" t="n">
        <v>37600</v>
      </c>
      <c r="D33" t="inlineStr">
        <is>
          <t>9--4</t>
        </is>
      </c>
      <c r="E33" t="inlineStr">
        <is>
          <t>كاش 100%</t>
        </is>
      </c>
      <c r="F33" s="42" t="n">
        <v>46217</v>
      </c>
      <c r="G33" t="n">
        <v>1248375</v>
      </c>
      <c r="H33" t="n">
        <v>1251704</v>
      </c>
    </row>
    <row r="34">
      <c r="A34" t="inlineStr">
        <is>
          <t>بيراميدز</t>
        </is>
      </c>
      <c r="B34" t="n">
        <v>37500</v>
      </c>
      <c r="C34" t="n">
        <v>37600</v>
      </c>
      <c r="D34" t="inlineStr">
        <is>
          <t>9--4</t>
        </is>
      </c>
      <c r="E34" t="inlineStr">
        <is>
          <t>كاش 100%</t>
        </is>
      </c>
      <c r="F34" s="42" t="n">
        <v>46217</v>
      </c>
      <c r="G34" t="n">
        <v>1920000</v>
      </c>
      <c r="H34" t="n">
        <v>1925120</v>
      </c>
    </row>
    <row r="35">
      <c r="A35" t="inlineStr">
        <is>
          <t>بيراميدز</t>
        </is>
      </c>
      <c r="B35" t="n">
        <v>37500</v>
      </c>
      <c r="C35" t="n">
        <v>37600</v>
      </c>
      <c r="D35" t="inlineStr">
        <is>
          <t>9--4</t>
        </is>
      </c>
      <c r="E35" t="inlineStr">
        <is>
          <t>كاش 100%</t>
        </is>
      </c>
      <c r="F35" s="42" t="n">
        <v>46217</v>
      </c>
      <c r="G35" t="n">
        <v>438000</v>
      </c>
      <c r="H35" t="n">
        <v>439168</v>
      </c>
    </row>
    <row r="36">
      <c r="A36" t="inlineStr">
        <is>
          <t>بيراميدز</t>
        </is>
      </c>
      <c r="B36" t="n">
        <v>37500</v>
      </c>
      <c r="C36" t="n">
        <v>37600</v>
      </c>
      <c r="D36" t="inlineStr">
        <is>
          <t>9--4</t>
        </is>
      </c>
      <c r="E36" t="inlineStr">
        <is>
          <t>كاش 100%</t>
        </is>
      </c>
      <c r="F36" s="42" t="n">
        <v>46217</v>
      </c>
      <c r="G36" t="n">
        <v>292500</v>
      </c>
      <c r="H36" t="n">
        <v>293280</v>
      </c>
    </row>
    <row r="37">
      <c r="A37" t="inlineStr">
        <is>
          <t>بيراميدز</t>
        </is>
      </c>
      <c r="B37" t="n">
        <v>37500</v>
      </c>
      <c r="C37" t="n">
        <v>37600</v>
      </c>
      <c r="D37" t="inlineStr">
        <is>
          <t>9--4</t>
        </is>
      </c>
      <c r="E37" t="inlineStr">
        <is>
          <t>كاش 100%</t>
        </is>
      </c>
      <c r="F37" s="42" t="n">
        <v>46217</v>
      </c>
      <c r="G37" t="n">
        <v>807750</v>
      </c>
      <c r="H37" t="n">
        <v>809904</v>
      </c>
    </row>
    <row r="38">
      <c r="A38" t="inlineStr">
        <is>
          <t>بيراميدز</t>
        </is>
      </c>
      <c r="B38" t="n">
        <v>37500</v>
      </c>
      <c r="C38" t="n">
        <v>37600</v>
      </c>
      <c r="D38" t="inlineStr">
        <is>
          <t>9--4</t>
        </is>
      </c>
      <c r="E38" t="inlineStr">
        <is>
          <t>كاش 100%</t>
        </is>
      </c>
      <c r="F38" s="42" t="n">
        <v>46217</v>
      </c>
      <c r="G38" t="n">
        <v>295500</v>
      </c>
      <c r="H38" t="n">
        <v>296288</v>
      </c>
    </row>
    <row r="39">
      <c r="A39" t="inlineStr">
        <is>
          <t>بيراميدز</t>
        </is>
      </c>
      <c r="B39" t="n">
        <v>37500</v>
      </c>
      <c r="C39" t="n">
        <v>37600</v>
      </c>
      <c r="D39" t="inlineStr">
        <is>
          <t>9--4</t>
        </is>
      </c>
      <c r="E39" t="inlineStr">
        <is>
          <t>كاش 100%</t>
        </is>
      </c>
      <c r="F39" s="42" t="n">
        <v>46217</v>
      </c>
      <c r="G39" t="n">
        <v>120000</v>
      </c>
      <c r="H39" t="n">
        <v>120320</v>
      </c>
    </row>
    <row r="40">
      <c r="A40" t="inlineStr">
        <is>
          <t>بيراميدز</t>
        </is>
      </c>
      <c r="B40" t="n">
        <v>37500</v>
      </c>
      <c r="C40" t="n">
        <v>37600</v>
      </c>
      <c r="D40" t="inlineStr">
        <is>
          <t>9--4</t>
        </is>
      </c>
      <c r="E40" t="inlineStr">
        <is>
          <t>كاش 100%</t>
        </is>
      </c>
      <c r="F40" s="42" t="n">
        <v>46217</v>
      </c>
      <c r="G40" t="n">
        <v>1856250</v>
      </c>
      <c r="H40" t="n">
        <v>1861200</v>
      </c>
    </row>
    <row r="41">
      <c r="A41" t="inlineStr">
        <is>
          <t>بيراميدز</t>
        </is>
      </c>
      <c r="B41" t="n">
        <v>37500</v>
      </c>
      <c r="C41" t="n">
        <v>37600</v>
      </c>
      <c r="D41" t="inlineStr">
        <is>
          <t>9--4</t>
        </is>
      </c>
      <c r="E41" t="inlineStr">
        <is>
          <t>كاش 100%</t>
        </is>
      </c>
      <c r="F41" s="42" t="n">
        <v>46217</v>
      </c>
      <c r="G41" t="n">
        <v>1854000</v>
      </c>
      <c r="H41" t="n">
        <v>1858944</v>
      </c>
    </row>
    <row r="42">
      <c r="A42" t="inlineStr">
        <is>
          <t>بيراميدز</t>
        </is>
      </c>
      <c r="B42" t="n">
        <v>37500</v>
      </c>
      <c r="C42" t="n">
        <v>37600</v>
      </c>
      <c r="D42" t="inlineStr">
        <is>
          <t>9--4</t>
        </is>
      </c>
      <c r="E42" t="inlineStr">
        <is>
          <t>كاش 100%</t>
        </is>
      </c>
      <c r="F42" s="42" t="n">
        <v>46217</v>
      </c>
      <c r="G42" t="n">
        <v>1462125</v>
      </c>
      <c r="H42" t="n">
        <v>1466024</v>
      </c>
    </row>
    <row r="43">
      <c r="A43" t="inlineStr">
        <is>
          <t>بيراميدز</t>
        </is>
      </c>
      <c r="B43" t="n">
        <v>37500</v>
      </c>
      <c r="C43" t="n">
        <v>37600</v>
      </c>
      <c r="D43" t="inlineStr">
        <is>
          <t>9--4</t>
        </is>
      </c>
      <c r="E43" t="inlineStr">
        <is>
          <t>كاش 100%</t>
        </is>
      </c>
      <c r="F43" s="42" t="n">
        <v>46217</v>
      </c>
      <c r="G43" t="n">
        <v>588375</v>
      </c>
      <c r="H43" t="n">
        <v>589944</v>
      </c>
    </row>
    <row r="44">
      <c r="A44" t="inlineStr">
        <is>
          <t>بيراميدز</t>
        </is>
      </c>
      <c r="B44" t="n">
        <v>37500</v>
      </c>
      <c r="C44" t="n">
        <v>37600</v>
      </c>
      <c r="D44" t="inlineStr">
        <is>
          <t>9--4</t>
        </is>
      </c>
      <c r="E44" t="inlineStr">
        <is>
          <t>كاش 100%</t>
        </is>
      </c>
      <c r="F44" s="42" t="n">
        <v>46217</v>
      </c>
      <c r="G44" t="n">
        <v>1976250</v>
      </c>
      <c r="H44" t="n">
        <v>1981520</v>
      </c>
    </row>
    <row r="45">
      <c r="A45" t="inlineStr">
        <is>
          <t>بيراميدز</t>
        </is>
      </c>
      <c r="B45" t="n">
        <v>37500</v>
      </c>
      <c r="C45" t="n">
        <v>37600</v>
      </c>
      <c r="D45" t="inlineStr">
        <is>
          <t>9--4</t>
        </is>
      </c>
      <c r="E45" t="inlineStr">
        <is>
          <t>كاش 100%</t>
        </is>
      </c>
      <c r="F45" s="42" t="n">
        <v>46217</v>
      </c>
      <c r="G45" t="n">
        <v>1020000</v>
      </c>
      <c r="H45" t="n">
        <v>1022720</v>
      </c>
    </row>
    <row r="46">
      <c r="A46" t="inlineStr">
        <is>
          <t>بيراميدز</t>
        </is>
      </c>
      <c r="B46" t="n">
        <v>37500</v>
      </c>
      <c r="C46" t="n">
        <v>37600</v>
      </c>
      <c r="D46" t="inlineStr">
        <is>
          <t>9--4</t>
        </is>
      </c>
      <c r="E46" t="inlineStr">
        <is>
          <t>كاش 100%</t>
        </is>
      </c>
      <c r="F46" s="42" t="n">
        <v>46217</v>
      </c>
      <c r="G46" t="n">
        <v>120000</v>
      </c>
      <c r="H46" t="n">
        <v>120320</v>
      </c>
    </row>
    <row r="47">
      <c r="A47" t="inlineStr">
        <is>
          <t>بيراميدز</t>
        </is>
      </c>
      <c r="B47" t="n">
        <v>37500</v>
      </c>
      <c r="C47" t="n">
        <v>37600</v>
      </c>
      <c r="D47" t="inlineStr">
        <is>
          <t>9--4</t>
        </is>
      </c>
      <c r="E47" t="inlineStr">
        <is>
          <t>كاش 100%</t>
        </is>
      </c>
      <c r="F47" s="42" t="n">
        <v>46217</v>
      </c>
      <c r="G47" t="n">
        <v>120000</v>
      </c>
      <c r="H47" t="n">
        <v>120320</v>
      </c>
    </row>
    <row r="48">
      <c r="A48" t="inlineStr">
        <is>
          <t>بيراميدز</t>
        </is>
      </c>
      <c r="B48" t="n">
        <v>37500</v>
      </c>
      <c r="C48" t="n">
        <v>37600</v>
      </c>
      <c r="D48" t="inlineStr">
        <is>
          <t>9--4</t>
        </is>
      </c>
      <c r="E48" t="inlineStr">
        <is>
          <t>كاش 100%</t>
        </is>
      </c>
      <c r="F48" s="42" t="n">
        <v>46217</v>
      </c>
      <c r="G48" t="n">
        <v>368625</v>
      </c>
      <c r="H48" t="n">
        <v>369608</v>
      </c>
    </row>
    <row r="49">
      <c r="A49" t="inlineStr">
        <is>
          <t>بيراميدز</t>
        </is>
      </c>
      <c r="B49" t="n">
        <v>37500</v>
      </c>
      <c r="C49" t="n">
        <v>37600</v>
      </c>
      <c r="D49" t="inlineStr">
        <is>
          <t>9--4</t>
        </is>
      </c>
      <c r="E49" t="inlineStr">
        <is>
          <t>كاش 100%</t>
        </is>
      </c>
      <c r="F49" s="42" t="n">
        <v>46217</v>
      </c>
      <c r="G49" t="n">
        <v>957375</v>
      </c>
      <c r="H49" t="n">
        <v>959928</v>
      </c>
    </row>
    <row r="50">
      <c r="A50" t="inlineStr">
        <is>
          <t>بيراميدز</t>
        </is>
      </c>
      <c r="B50" t="n">
        <v>37500</v>
      </c>
      <c r="C50" t="n">
        <v>37600</v>
      </c>
      <c r="D50" t="inlineStr">
        <is>
          <t>9--4</t>
        </is>
      </c>
      <c r="E50" t="inlineStr">
        <is>
          <t>كاش 100%</t>
        </is>
      </c>
      <c r="F50" s="42" t="n">
        <v>46217</v>
      </c>
      <c r="G50" t="n">
        <v>733500</v>
      </c>
      <c r="H50" t="n">
        <v>735456</v>
      </c>
    </row>
    <row r="51">
      <c r="A51" t="inlineStr">
        <is>
          <t>بيراميدز</t>
        </is>
      </c>
      <c r="B51" t="n">
        <v>37500</v>
      </c>
      <c r="C51" t="n">
        <v>37600</v>
      </c>
      <c r="D51" t="inlineStr">
        <is>
          <t>9--4</t>
        </is>
      </c>
      <c r="E51" t="inlineStr">
        <is>
          <t>كاش 100%</t>
        </is>
      </c>
      <c r="F51" s="42" t="n">
        <v>46217</v>
      </c>
      <c r="G51" t="n">
        <v>2197500</v>
      </c>
      <c r="H51" t="n">
        <v>2203360</v>
      </c>
    </row>
    <row r="52">
      <c r="A52" t="inlineStr">
        <is>
          <t>بيراميدز</t>
        </is>
      </c>
      <c r="B52" t="n">
        <v>37500</v>
      </c>
      <c r="C52" t="n">
        <v>37600</v>
      </c>
      <c r="D52" t="inlineStr">
        <is>
          <t>9--4</t>
        </is>
      </c>
      <c r="E52" t="inlineStr">
        <is>
          <t>كاش 100%</t>
        </is>
      </c>
      <c r="F52" s="42" t="n">
        <v>46217</v>
      </c>
      <c r="G52" t="n">
        <v>1053750</v>
      </c>
      <c r="H52" t="n">
        <v>1056560</v>
      </c>
    </row>
    <row r="53">
      <c r="A53" t="inlineStr">
        <is>
          <t>بيراميدز</t>
        </is>
      </c>
      <c r="B53" t="n">
        <v>37500</v>
      </c>
      <c r="C53" t="n">
        <v>37600</v>
      </c>
      <c r="D53" t="inlineStr">
        <is>
          <t>9--4</t>
        </is>
      </c>
      <c r="E53" t="inlineStr">
        <is>
          <t>كاش 100%</t>
        </is>
      </c>
      <c r="F53" s="42" t="n">
        <v>46217</v>
      </c>
      <c r="G53" t="n">
        <v>2089500</v>
      </c>
      <c r="H53" t="n">
        <v>2095072</v>
      </c>
    </row>
    <row r="54">
      <c r="A54" t="inlineStr">
        <is>
          <t>بيراميدز</t>
        </is>
      </c>
      <c r="B54" t="n">
        <v>37500</v>
      </c>
      <c r="C54" t="n">
        <v>37600</v>
      </c>
      <c r="D54" t="inlineStr">
        <is>
          <t>9--4</t>
        </is>
      </c>
      <c r="E54" t="inlineStr">
        <is>
          <t>كاش 100%</t>
        </is>
      </c>
      <c r="F54" s="42" t="n">
        <v>46217</v>
      </c>
      <c r="G54" t="n">
        <v>573000</v>
      </c>
      <c r="H54" t="n">
        <v>574528</v>
      </c>
    </row>
    <row r="55">
      <c r="A55" t="inlineStr">
        <is>
          <t>بيراميدز</t>
        </is>
      </c>
      <c r="B55" t="n">
        <v>37500</v>
      </c>
      <c r="C55" t="n">
        <v>37600</v>
      </c>
      <c r="D55" t="inlineStr">
        <is>
          <t>9--4</t>
        </is>
      </c>
      <c r="E55" t="inlineStr">
        <is>
          <t>كاش 100%</t>
        </is>
      </c>
      <c r="F55" s="42" t="inlineStr"/>
      <c r="G55" t="n">
        <v>0</v>
      </c>
      <c r="H55" t="n">
        <v>0</v>
      </c>
    </row>
    <row r="56">
      <c r="A56" t="inlineStr">
        <is>
          <t>بيراميدز</t>
        </is>
      </c>
      <c r="B56" t="n">
        <v>37500</v>
      </c>
      <c r="C56" t="n">
        <v>37600</v>
      </c>
      <c r="D56" t="inlineStr">
        <is>
          <t>9--4</t>
        </is>
      </c>
      <c r="E56" t="inlineStr">
        <is>
          <t>كاش 100%</t>
        </is>
      </c>
      <c r="F56" s="42" t="n">
        <v>46217</v>
      </c>
      <c r="G56" t="n">
        <v>1353000</v>
      </c>
      <c r="H56" t="n">
        <v>1356608</v>
      </c>
    </row>
    <row r="57">
      <c r="A57" t="inlineStr">
        <is>
          <t>بيراميدز</t>
        </is>
      </c>
      <c r="B57" t="n">
        <v>37500</v>
      </c>
      <c r="C57" t="n">
        <v>37600</v>
      </c>
      <c r="D57" t="inlineStr">
        <is>
          <t>9--4</t>
        </is>
      </c>
      <c r="E57" t="inlineStr">
        <is>
          <t>كاش 100%</t>
        </is>
      </c>
      <c r="F57" s="42" t="n">
        <v>46218</v>
      </c>
      <c r="G57" t="n">
        <v>239250</v>
      </c>
      <c r="H57" t="n">
        <v>239888</v>
      </c>
    </row>
    <row r="58">
      <c r="A58" t="inlineStr">
        <is>
          <t>بيراميدز</t>
        </is>
      </c>
      <c r="B58" t="n">
        <v>37500</v>
      </c>
      <c r="C58" t="n">
        <v>37600</v>
      </c>
      <c r="D58" t="inlineStr">
        <is>
          <t>9--4</t>
        </is>
      </c>
      <c r="E58" t="inlineStr">
        <is>
          <t>كاش 100%</t>
        </is>
      </c>
      <c r="F58" s="42" t="n">
        <v>46218</v>
      </c>
      <c r="G58" t="n">
        <v>119250</v>
      </c>
      <c r="H58" t="n">
        <v>119568</v>
      </c>
    </row>
    <row r="59">
      <c r="A59" t="inlineStr">
        <is>
          <t>بيراميدز</t>
        </is>
      </c>
      <c r="B59" t="n">
        <v>37500</v>
      </c>
      <c r="C59" t="n">
        <v>37600</v>
      </c>
      <c r="D59" t="inlineStr">
        <is>
          <t>9--4</t>
        </is>
      </c>
      <c r="E59" t="inlineStr">
        <is>
          <t>كاش 100%</t>
        </is>
      </c>
      <c r="F59" s="42" t="n">
        <v>46218</v>
      </c>
      <c r="G59" t="n">
        <v>1832250</v>
      </c>
      <c r="H59" t="n">
        <v>1837136</v>
      </c>
    </row>
    <row r="60">
      <c r="A60" t="inlineStr">
        <is>
          <t>بيراميدز</t>
        </is>
      </c>
      <c r="B60" t="n">
        <v>37500</v>
      </c>
      <c r="C60" t="n">
        <v>37600</v>
      </c>
      <c r="D60" t="inlineStr">
        <is>
          <t>9--4</t>
        </is>
      </c>
      <c r="E60" t="inlineStr">
        <is>
          <t>كاش 100%</t>
        </is>
      </c>
      <c r="F60" s="42" t="n">
        <v>46218</v>
      </c>
      <c r="G60" t="n">
        <v>1492875</v>
      </c>
      <c r="H60" t="n">
        <v>1496856</v>
      </c>
    </row>
    <row r="61">
      <c r="A61" t="inlineStr">
        <is>
          <t>بيراميدز</t>
        </is>
      </c>
      <c r="B61" t="n">
        <v>37500</v>
      </c>
      <c r="C61" t="n">
        <v>37600</v>
      </c>
      <c r="D61" t="inlineStr">
        <is>
          <t>9--4</t>
        </is>
      </c>
      <c r="E61" t="inlineStr">
        <is>
          <t>كاش 100%</t>
        </is>
      </c>
      <c r="F61" s="42" t="n">
        <v>46218</v>
      </c>
      <c r="G61" t="n">
        <v>148500</v>
      </c>
      <c r="H61" t="n">
        <v>148896</v>
      </c>
    </row>
    <row r="62">
      <c r="A62" t="inlineStr">
        <is>
          <t>بيراميدز</t>
        </is>
      </c>
      <c r="B62" t="n">
        <v>37500</v>
      </c>
      <c r="C62" t="n">
        <v>37600</v>
      </c>
      <c r="D62" t="inlineStr">
        <is>
          <t>9--4</t>
        </is>
      </c>
      <c r="E62" t="inlineStr">
        <is>
          <t>كاش 100%</t>
        </is>
      </c>
      <c r="F62" s="42" t="n">
        <v>46218</v>
      </c>
      <c r="G62" t="n">
        <v>454499.9999999999</v>
      </c>
      <c r="H62" t="n">
        <v>455711.9999999999</v>
      </c>
    </row>
    <row r="63">
      <c r="A63" t="inlineStr">
        <is>
          <t>بيراميدز</t>
        </is>
      </c>
      <c r="B63" t="n">
        <v>37500</v>
      </c>
      <c r="C63" t="n">
        <v>37600</v>
      </c>
      <c r="D63" t="inlineStr">
        <is>
          <t>9--4</t>
        </is>
      </c>
      <c r="E63" t="inlineStr">
        <is>
          <t>كاش 100%</t>
        </is>
      </c>
      <c r="F63" s="42" t="n">
        <v>46218</v>
      </c>
      <c r="G63" t="n">
        <v>215625</v>
      </c>
      <c r="H63" t="n">
        <v>216200</v>
      </c>
    </row>
    <row r="64">
      <c r="A64" t="inlineStr">
        <is>
          <t>بيراميدز</t>
        </is>
      </c>
      <c r="B64" t="n">
        <v>37500</v>
      </c>
      <c r="C64" t="n">
        <v>37600</v>
      </c>
      <c r="D64" t="inlineStr">
        <is>
          <t>9--4</t>
        </is>
      </c>
      <c r="E64" t="inlineStr">
        <is>
          <t>كاش 100%</t>
        </is>
      </c>
      <c r="F64" s="42" t="n">
        <v>46217</v>
      </c>
      <c r="G64" t="n">
        <v>875250</v>
      </c>
      <c r="H64" t="n">
        <v>877584</v>
      </c>
    </row>
    <row r="65">
      <c r="A65" t="inlineStr">
        <is>
          <t>بيراميدز</t>
        </is>
      </c>
      <c r="B65" t="n">
        <v>37500</v>
      </c>
      <c r="C65" t="n">
        <v>37600</v>
      </c>
      <c r="D65" t="inlineStr">
        <is>
          <t>9--4</t>
        </is>
      </c>
      <c r="E65" t="inlineStr">
        <is>
          <t>كاش 100%</t>
        </is>
      </c>
      <c r="F65" s="42" t="n">
        <v>46217</v>
      </c>
      <c r="G65" t="n">
        <v>725625</v>
      </c>
      <c r="H65" t="n">
        <v>727560</v>
      </c>
    </row>
    <row r="66">
      <c r="A66" t="inlineStr">
        <is>
          <t>بيراميدز</t>
        </is>
      </c>
      <c r="B66" t="n">
        <v>37500</v>
      </c>
      <c r="C66" t="n">
        <v>37600</v>
      </c>
      <c r="D66" t="inlineStr">
        <is>
          <t>9--4</t>
        </is>
      </c>
      <c r="E66" t="inlineStr">
        <is>
          <t>كاش 100%</t>
        </is>
      </c>
      <c r="F66" s="42" t="n">
        <v>46217</v>
      </c>
      <c r="G66" t="n">
        <v>379875.0000000001</v>
      </c>
      <c r="H66" t="n">
        <v>380888.0000000001</v>
      </c>
    </row>
    <row r="67">
      <c r="A67" t="inlineStr">
        <is>
          <t>بيراميدز</t>
        </is>
      </c>
      <c r="B67" t="n">
        <v>37500</v>
      </c>
      <c r="C67" t="n">
        <v>37600</v>
      </c>
      <c r="D67" t="inlineStr">
        <is>
          <t>9--1</t>
        </is>
      </c>
      <c r="E67" t="inlineStr">
        <is>
          <t>كاش 100%</t>
        </is>
      </c>
      <c r="F67" s="42" t="n">
        <v>46218</v>
      </c>
      <c r="G67" t="n">
        <v>119250</v>
      </c>
      <c r="H67" t="n">
        <v>119568</v>
      </c>
    </row>
    <row r="68">
      <c r="A68" t="inlineStr">
        <is>
          <t>بيراميدز</t>
        </is>
      </c>
      <c r="B68" t="n">
        <v>37500</v>
      </c>
      <c r="C68" t="n">
        <v>37600</v>
      </c>
      <c r="D68" t="inlineStr">
        <is>
          <t>9--1</t>
        </is>
      </c>
      <c r="E68" t="inlineStr">
        <is>
          <t>كاش 100%</t>
        </is>
      </c>
      <c r="F68" s="42" t="n">
        <v>46218</v>
      </c>
      <c r="G68" t="n">
        <v>743624.9999999999</v>
      </c>
      <c r="H68" t="n">
        <v>745607.9999999999</v>
      </c>
    </row>
    <row r="69">
      <c r="A69" t="inlineStr">
        <is>
          <t>بيراميدز</t>
        </is>
      </c>
      <c r="B69" t="n">
        <v>37500</v>
      </c>
      <c r="C69" t="n">
        <v>37600</v>
      </c>
      <c r="D69" t="inlineStr">
        <is>
          <t>9--1</t>
        </is>
      </c>
      <c r="E69" t="inlineStr">
        <is>
          <t>كاش 100%</t>
        </is>
      </c>
      <c r="F69" s="42" t="n">
        <v>46218</v>
      </c>
      <c r="G69" t="n">
        <v>664125</v>
      </c>
      <c r="H69" t="n">
        <v>665896</v>
      </c>
    </row>
    <row r="70">
      <c r="A70" t="inlineStr">
        <is>
          <t>بيراميدز</t>
        </is>
      </c>
      <c r="B70" t="n">
        <v>37500</v>
      </c>
      <c r="C70" t="n">
        <v>37600</v>
      </c>
      <c r="D70" t="inlineStr">
        <is>
          <t>9--1</t>
        </is>
      </c>
      <c r="E70" t="inlineStr">
        <is>
          <t>كاش 100%</t>
        </is>
      </c>
      <c r="F70" s="42" t="n">
        <v>46218</v>
      </c>
      <c r="G70" t="n">
        <v>365250</v>
      </c>
      <c r="H70" t="n">
        <v>366224</v>
      </c>
    </row>
    <row r="71">
      <c r="A71" t="inlineStr">
        <is>
          <t>بيراميدز</t>
        </is>
      </c>
      <c r="B71" t="n">
        <v>37500</v>
      </c>
      <c r="C71" t="n">
        <v>37600</v>
      </c>
      <c r="D71" t="inlineStr">
        <is>
          <t>9--1</t>
        </is>
      </c>
      <c r="E71" t="inlineStr">
        <is>
          <t>كاش 100%</t>
        </is>
      </c>
      <c r="F71" s="42" t="n">
        <v>46218</v>
      </c>
      <c r="G71" t="n">
        <v>758999.9999999999</v>
      </c>
      <c r="H71" t="n">
        <v>761023.9999999999</v>
      </c>
    </row>
    <row r="72">
      <c r="A72" t="inlineStr">
        <is>
          <t>بيراميدز</t>
        </is>
      </c>
      <c r="B72" t="n">
        <v>37500</v>
      </c>
      <c r="C72" t="n">
        <v>37600</v>
      </c>
      <c r="D72" t="inlineStr">
        <is>
          <t>9--1</t>
        </is>
      </c>
      <c r="E72" t="inlineStr">
        <is>
          <t>كاش 100%</t>
        </is>
      </c>
      <c r="F72" s="42" t="n">
        <v>46217</v>
      </c>
      <c r="G72" t="n">
        <v>120000</v>
      </c>
      <c r="H72" t="n">
        <v>120320</v>
      </c>
    </row>
    <row r="73">
      <c r="A73" t="inlineStr">
        <is>
          <t>بيراميدز</t>
        </is>
      </c>
      <c r="B73" t="n">
        <v>37500</v>
      </c>
      <c r="C73" t="n">
        <v>37600</v>
      </c>
      <c r="D73" t="inlineStr">
        <is>
          <t>9--1</t>
        </is>
      </c>
      <c r="E73" t="inlineStr">
        <is>
          <t>كاش 100%</t>
        </is>
      </c>
      <c r="F73" s="42" t="n">
        <v>46217</v>
      </c>
      <c r="G73" t="n">
        <v>518625</v>
      </c>
      <c r="H73" t="n">
        <v>520008</v>
      </c>
    </row>
    <row r="74">
      <c r="A74" t="inlineStr">
        <is>
          <t>بيراميدز</t>
        </is>
      </c>
      <c r="B74" t="n">
        <v>37500</v>
      </c>
      <c r="C74" t="n">
        <v>37600</v>
      </c>
      <c r="D74" t="inlineStr">
        <is>
          <t>9--1</t>
        </is>
      </c>
      <c r="E74" t="inlineStr">
        <is>
          <t>كاش 100%</t>
        </is>
      </c>
      <c r="F74" s="42" t="n">
        <v>46217</v>
      </c>
      <c r="G74" t="n">
        <v>222000</v>
      </c>
      <c r="H74" t="n">
        <v>222592</v>
      </c>
    </row>
    <row r="75">
      <c r="A75" t="inlineStr">
        <is>
          <t>بيراميدز</t>
        </is>
      </c>
      <c r="B75" t="n">
        <v>37500</v>
      </c>
      <c r="C75" t="n">
        <v>37600</v>
      </c>
      <c r="D75" t="inlineStr">
        <is>
          <t>9--1</t>
        </is>
      </c>
      <c r="E75" t="inlineStr">
        <is>
          <t>كاش 100%</t>
        </is>
      </c>
      <c r="F75" s="42" t="n">
        <v>46217</v>
      </c>
      <c r="G75" t="n">
        <v>1179375</v>
      </c>
      <c r="H75" t="n">
        <v>1182520</v>
      </c>
    </row>
    <row r="76">
      <c r="A76" t="inlineStr">
        <is>
          <t>بيراميدز</t>
        </is>
      </c>
      <c r="B76" t="n">
        <v>37500</v>
      </c>
      <c r="C76" t="n">
        <v>37600</v>
      </c>
      <c r="D76" t="inlineStr">
        <is>
          <t>9--1</t>
        </is>
      </c>
      <c r="E76" t="inlineStr">
        <is>
          <t>كاش 100%</t>
        </is>
      </c>
      <c r="F76" s="42" t="n">
        <v>46217</v>
      </c>
      <c r="G76" t="n">
        <v>532500</v>
      </c>
      <c r="H76" t="n">
        <v>533920</v>
      </c>
    </row>
    <row r="77">
      <c r="A77" t="inlineStr">
        <is>
          <t>بيراميدز</t>
        </is>
      </c>
      <c r="B77" t="n">
        <v>37500</v>
      </c>
      <c r="C77" t="n">
        <v>37600</v>
      </c>
      <c r="D77" t="inlineStr">
        <is>
          <t>9--2</t>
        </is>
      </c>
      <c r="E77" t="inlineStr">
        <is>
          <t>كاش 100%</t>
        </is>
      </c>
      <c r="F77" s="42" t="n">
        <v>46217</v>
      </c>
      <c r="G77" t="n">
        <v>118312.5</v>
      </c>
      <c r="H77" t="n">
        <v>118628</v>
      </c>
    </row>
    <row r="78">
      <c r="A78" t="inlineStr">
        <is>
          <t>بيراميدز</t>
        </is>
      </c>
      <c r="B78" t="n">
        <v>37500</v>
      </c>
      <c r="C78" t="n">
        <v>37600</v>
      </c>
      <c r="D78" t="inlineStr">
        <is>
          <t>9--2</t>
        </is>
      </c>
      <c r="E78" t="inlineStr">
        <is>
          <t>كاش 100%</t>
        </is>
      </c>
      <c r="F78" s="42" t="n">
        <v>46217</v>
      </c>
      <c r="G78" t="n">
        <v>370875</v>
      </c>
      <c r="H78" t="n">
        <v>371864</v>
      </c>
    </row>
    <row r="79">
      <c r="A79" t="inlineStr">
        <is>
          <t>بيراميدز</t>
        </is>
      </c>
      <c r="B79" t="n">
        <v>37500</v>
      </c>
      <c r="C79" t="n">
        <v>37600</v>
      </c>
      <c r="D79" t="inlineStr">
        <is>
          <t>9--2</t>
        </is>
      </c>
      <c r="E79" t="inlineStr">
        <is>
          <t>كاش 100%</t>
        </is>
      </c>
      <c r="F79" s="42" t="n">
        <v>46217</v>
      </c>
      <c r="G79" t="n">
        <v>296062.5</v>
      </c>
      <c r="H79" t="n">
        <v>296852</v>
      </c>
    </row>
    <row r="80">
      <c r="A80" t="inlineStr">
        <is>
          <t>بيراميدز</t>
        </is>
      </c>
      <c r="B80" t="n">
        <v>37500</v>
      </c>
      <c r="C80" t="n">
        <v>37600</v>
      </c>
      <c r="D80" t="inlineStr">
        <is>
          <t>9--2</t>
        </is>
      </c>
      <c r="E80" t="inlineStr">
        <is>
          <t>كاش 100%</t>
        </is>
      </c>
      <c r="F80" s="42" t="n">
        <v>46217</v>
      </c>
      <c r="G80" t="n">
        <v>369562.5</v>
      </c>
      <c r="H80" t="n">
        <v>370548</v>
      </c>
    </row>
    <row r="81">
      <c r="A81" t="inlineStr">
        <is>
          <t>بيراميدز</t>
        </is>
      </c>
      <c r="B81" t="n">
        <v>37500</v>
      </c>
      <c r="C81" t="n">
        <v>37600</v>
      </c>
      <c r="D81" t="inlineStr">
        <is>
          <t>9--2</t>
        </is>
      </c>
      <c r="E81" t="inlineStr">
        <is>
          <t>كاش 100%</t>
        </is>
      </c>
      <c r="F81" s="42" t="n">
        <v>46217</v>
      </c>
      <c r="G81" t="n">
        <v>369000</v>
      </c>
      <c r="H81" t="n">
        <v>369984</v>
      </c>
    </row>
    <row r="82">
      <c r="A82" t="inlineStr">
        <is>
          <t>بيراميدز</t>
        </is>
      </c>
      <c r="B82" t="n">
        <v>37500</v>
      </c>
      <c r="C82" t="n">
        <v>37600</v>
      </c>
      <c r="D82" t="inlineStr">
        <is>
          <t>9--2</t>
        </is>
      </c>
      <c r="E82" t="inlineStr">
        <is>
          <t>كاش 100%</t>
        </is>
      </c>
      <c r="F82" s="42" t="n">
        <v>46217</v>
      </c>
      <c r="G82" t="n">
        <v>72562.5</v>
      </c>
      <c r="H82" t="n">
        <v>72756</v>
      </c>
    </row>
    <row r="83">
      <c r="A83" t="inlineStr">
        <is>
          <t>بيراميدز</t>
        </is>
      </c>
      <c r="B83" t="n">
        <v>37500</v>
      </c>
      <c r="C83" t="n">
        <v>37600</v>
      </c>
      <c r="D83" t="inlineStr">
        <is>
          <t>9--2</t>
        </is>
      </c>
      <c r="E83" t="inlineStr">
        <is>
          <t>كاش 100%</t>
        </is>
      </c>
      <c r="F83" s="42" t="n">
        <v>46218</v>
      </c>
      <c r="G83" t="n">
        <v>119250</v>
      </c>
      <c r="H83" t="n">
        <v>119568</v>
      </c>
    </row>
    <row r="84">
      <c r="A84" t="inlineStr">
        <is>
          <t>بيراميدز</t>
        </is>
      </c>
      <c r="B84" t="n">
        <v>37500</v>
      </c>
      <c r="C84" t="n">
        <v>37600</v>
      </c>
      <c r="D84" t="inlineStr">
        <is>
          <t>9--2</t>
        </is>
      </c>
      <c r="E84" t="inlineStr">
        <is>
          <t>كاش 100%</t>
        </is>
      </c>
      <c r="F84" s="42" t="n">
        <v>46218</v>
      </c>
      <c r="G84" t="n">
        <v>596250</v>
      </c>
      <c r="H84" t="n">
        <v>597840</v>
      </c>
    </row>
    <row r="85">
      <c r="A85" t="inlineStr">
        <is>
          <t>بيراميدز</t>
        </is>
      </c>
      <c r="B85" t="n">
        <v>37500</v>
      </c>
      <c r="C85" t="n">
        <v>37600</v>
      </c>
      <c r="D85" t="inlineStr">
        <is>
          <t>9--2</t>
        </is>
      </c>
      <c r="E85" t="inlineStr">
        <is>
          <t>كاش 100%</t>
        </is>
      </c>
      <c r="F85" s="42" t="n">
        <v>46218</v>
      </c>
      <c r="G85" t="n">
        <v>733125</v>
      </c>
      <c r="H85" t="n">
        <v>735080</v>
      </c>
    </row>
    <row r="86">
      <c r="A86" t="inlineStr">
        <is>
          <t>بيراميدز</t>
        </is>
      </c>
      <c r="B86" t="n">
        <v>37500</v>
      </c>
      <c r="C86" t="n">
        <v>37600</v>
      </c>
      <c r="D86" t="inlineStr">
        <is>
          <t>9--2</t>
        </is>
      </c>
      <c r="E86" t="inlineStr">
        <is>
          <t>كاش 100%</t>
        </is>
      </c>
      <c r="F86" s="42" t="n">
        <v>46218</v>
      </c>
      <c r="G86" t="n">
        <v>528375</v>
      </c>
      <c r="H86" t="n">
        <v>529784</v>
      </c>
    </row>
    <row r="87">
      <c r="A87" t="inlineStr">
        <is>
          <t>بيراميدز</t>
        </is>
      </c>
      <c r="B87" t="n">
        <v>37500</v>
      </c>
      <c r="C87" t="n">
        <v>37600</v>
      </c>
      <c r="D87" t="inlineStr">
        <is>
          <t>9--3</t>
        </is>
      </c>
      <c r="E87" t="inlineStr">
        <is>
          <t>كاش 100%</t>
        </is>
      </c>
      <c r="F87" s="42" t="n">
        <v>46217</v>
      </c>
      <c r="G87" t="n">
        <v>59625</v>
      </c>
      <c r="H87" t="n">
        <v>59784</v>
      </c>
    </row>
    <row r="88">
      <c r="A88" t="inlineStr">
        <is>
          <t>بيراميدز</t>
        </is>
      </c>
      <c r="B88" t="n">
        <v>37500</v>
      </c>
      <c r="C88" t="n">
        <v>37600</v>
      </c>
      <c r="D88" t="inlineStr">
        <is>
          <t>9--3</t>
        </is>
      </c>
      <c r="E88" t="inlineStr">
        <is>
          <t>كاش 100%</t>
        </is>
      </c>
      <c r="F88" s="42" t="n">
        <v>46217</v>
      </c>
      <c r="G88" t="n">
        <v>1096125</v>
      </c>
      <c r="H88" t="n">
        <v>1099048</v>
      </c>
    </row>
    <row r="89">
      <c r="A89" t="inlineStr">
        <is>
          <t>بيراميدز</t>
        </is>
      </c>
      <c r="B89" t="n">
        <v>37500</v>
      </c>
      <c r="C89" t="n">
        <v>37600</v>
      </c>
      <c r="D89" t="inlineStr">
        <is>
          <t>9--3</t>
        </is>
      </c>
      <c r="E89" t="inlineStr">
        <is>
          <t>كاش 100%</t>
        </is>
      </c>
      <c r="F89" s="42" t="n">
        <v>46217</v>
      </c>
      <c r="G89" t="n">
        <v>146250</v>
      </c>
      <c r="H89" t="n">
        <v>146640</v>
      </c>
    </row>
    <row r="90">
      <c r="A90" t="inlineStr">
        <is>
          <t>بيراميدز</t>
        </is>
      </c>
      <c r="B90" t="n">
        <v>37500</v>
      </c>
      <c r="C90" t="n">
        <v>37600</v>
      </c>
      <c r="D90" t="inlineStr">
        <is>
          <t>9--3</t>
        </is>
      </c>
      <c r="E90" t="inlineStr">
        <is>
          <t>كاش 100%</t>
        </is>
      </c>
      <c r="F90" s="42" t="n">
        <v>46217</v>
      </c>
      <c r="G90" t="n">
        <v>808500</v>
      </c>
      <c r="H90" t="n">
        <v>810656</v>
      </c>
    </row>
    <row r="91">
      <c r="A91" t="inlineStr">
        <is>
          <t>بيراميدز</t>
        </is>
      </c>
      <c r="B91" t="n">
        <v>37500</v>
      </c>
      <c r="C91" t="n">
        <v>37600</v>
      </c>
      <c r="D91" t="inlineStr">
        <is>
          <t>9--3</t>
        </is>
      </c>
      <c r="E91" t="inlineStr">
        <is>
          <t>كاش 100%</t>
        </is>
      </c>
      <c r="F91" s="42" t="n">
        <v>46217</v>
      </c>
      <c r="G91" t="n">
        <v>119625</v>
      </c>
      <c r="H91" t="n">
        <v>119944</v>
      </c>
    </row>
    <row r="92">
      <c r="A92" t="inlineStr">
        <is>
          <t>بيراميدز</t>
        </is>
      </c>
      <c r="B92" t="n">
        <v>37500</v>
      </c>
      <c r="C92" t="n">
        <v>37600</v>
      </c>
      <c r="D92" t="inlineStr">
        <is>
          <t>9--3</t>
        </is>
      </c>
      <c r="E92" t="inlineStr">
        <is>
          <t>كاش 100%</t>
        </is>
      </c>
      <c r="F92" s="42" t="n">
        <v>46217</v>
      </c>
      <c r="G92" t="n">
        <v>1100625</v>
      </c>
      <c r="H92" t="n">
        <v>1103560</v>
      </c>
    </row>
    <row r="93">
      <c r="A93" t="inlineStr">
        <is>
          <t>بيراميدز</t>
        </is>
      </c>
      <c r="B93" t="n">
        <v>37500</v>
      </c>
      <c r="C93" t="n">
        <v>37600</v>
      </c>
      <c r="D93" t="inlineStr">
        <is>
          <t>9--3</t>
        </is>
      </c>
      <c r="E93" t="inlineStr">
        <is>
          <t>كاش 100%</t>
        </is>
      </c>
      <c r="F93" s="42" t="n">
        <v>46217</v>
      </c>
      <c r="G93" t="n">
        <v>806250</v>
      </c>
      <c r="H93" t="n">
        <v>808400</v>
      </c>
    </row>
    <row r="94">
      <c r="A94" t="inlineStr">
        <is>
          <t>بيراميدز</t>
        </is>
      </c>
      <c r="B94" t="n">
        <v>37500</v>
      </c>
      <c r="C94" t="n">
        <v>37600</v>
      </c>
      <c r="D94" t="inlineStr">
        <is>
          <t>9--3</t>
        </is>
      </c>
      <c r="E94" t="inlineStr">
        <is>
          <t>كاش 100%</t>
        </is>
      </c>
      <c r="F94" s="42" t="n">
        <v>46218</v>
      </c>
      <c r="G94" t="n">
        <v>119625</v>
      </c>
      <c r="H94" t="n">
        <v>119944</v>
      </c>
    </row>
    <row r="95">
      <c r="A95" t="inlineStr">
        <is>
          <t>بيراميدز</t>
        </is>
      </c>
      <c r="B95" t="n">
        <v>37500</v>
      </c>
      <c r="C95" t="n">
        <v>37600</v>
      </c>
      <c r="D95" t="inlineStr">
        <is>
          <t>9--3</t>
        </is>
      </c>
      <c r="E95" t="inlineStr">
        <is>
          <t>كاش 100%</t>
        </is>
      </c>
      <c r="F95" s="42" t="n">
        <v>46218</v>
      </c>
      <c r="G95" t="n">
        <v>1025250</v>
      </c>
      <c r="H95" t="n">
        <v>1027984</v>
      </c>
    </row>
    <row r="96">
      <c r="A96" t="inlineStr">
        <is>
          <t>بيراميدز</t>
        </is>
      </c>
      <c r="B96" t="n">
        <v>37500</v>
      </c>
      <c r="C96" t="n">
        <v>37600</v>
      </c>
      <c r="D96" t="inlineStr">
        <is>
          <t>9--3</t>
        </is>
      </c>
      <c r="E96" t="inlineStr">
        <is>
          <t>كاش 100%</t>
        </is>
      </c>
      <c r="F96" s="42" t="n">
        <v>46218</v>
      </c>
      <c r="G96" t="n">
        <v>2051625</v>
      </c>
      <c r="H96" t="n">
        <v>2057096</v>
      </c>
    </row>
    <row r="97">
      <c r="A97" t="inlineStr">
        <is>
          <t>بيراميدز</t>
        </is>
      </c>
      <c r="B97" t="n">
        <v>37500</v>
      </c>
      <c r="C97" t="n">
        <v>37600</v>
      </c>
      <c r="D97" t="inlineStr">
        <is>
          <t>9--3</t>
        </is>
      </c>
      <c r="E97" t="inlineStr">
        <is>
          <t>كاش 100%</t>
        </is>
      </c>
      <c r="F97" s="42" t="n">
        <v>46217</v>
      </c>
      <c r="G97" t="n">
        <v>62250</v>
      </c>
      <c r="H97" t="n">
        <v>62416</v>
      </c>
    </row>
    <row r="98">
      <c r="A98" t="inlineStr">
        <is>
          <t>بيراميدز</t>
        </is>
      </c>
      <c r="B98" t="n">
        <v>37500</v>
      </c>
      <c r="C98" t="n">
        <v>37600</v>
      </c>
      <c r="D98" t="inlineStr">
        <is>
          <t>9--3</t>
        </is>
      </c>
      <c r="E98" t="inlineStr">
        <is>
          <t>كاش 100%</t>
        </is>
      </c>
      <c r="F98" s="42" t="n">
        <v>46217</v>
      </c>
      <c r="G98" t="n">
        <v>458625</v>
      </c>
      <c r="H98" t="n">
        <v>459848</v>
      </c>
    </row>
    <row r="99">
      <c r="A99" t="inlineStr">
        <is>
          <t>بيراميدز</t>
        </is>
      </c>
      <c r="B99" t="n">
        <v>37500</v>
      </c>
      <c r="C99" t="n">
        <v>37600</v>
      </c>
      <c r="D99" t="inlineStr">
        <is>
          <t>9--3</t>
        </is>
      </c>
      <c r="E99" t="inlineStr">
        <is>
          <t>كاش 100%</t>
        </is>
      </c>
      <c r="F99" s="42" t="n">
        <v>46217</v>
      </c>
      <c r="G99" t="n">
        <v>436875</v>
      </c>
      <c r="H99" t="n">
        <v>438040</v>
      </c>
    </row>
    <row r="100">
      <c r="A100" t="inlineStr">
        <is>
          <t>بيراميدز</t>
        </is>
      </c>
      <c r="B100" t="n">
        <v>37500</v>
      </c>
      <c r="C100" t="n">
        <v>37600</v>
      </c>
      <c r="D100" t="inlineStr">
        <is>
          <t>9--3</t>
        </is>
      </c>
      <c r="E100" t="inlineStr">
        <is>
          <t>كاش 100%</t>
        </is>
      </c>
      <c r="F100" s="42" t="n">
        <v>46217</v>
      </c>
      <c r="G100" t="n">
        <v>1603125</v>
      </c>
      <c r="H100" t="n">
        <v>1607400</v>
      </c>
    </row>
    <row r="101">
      <c r="A101" t="inlineStr">
        <is>
          <t>بيراميدز</t>
        </is>
      </c>
      <c r="B101" t="n">
        <v>37500</v>
      </c>
      <c r="C101" t="n">
        <v>37600</v>
      </c>
      <c r="D101" t="inlineStr">
        <is>
          <t>9--3</t>
        </is>
      </c>
      <c r="E101" t="inlineStr">
        <is>
          <t>كاش 100%</t>
        </is>
      </c>
      <c r="F101" s="42" t="n">
        <v>46217</v>
      </c>
      <c r="G101" t="n">
        <v>1100625</v>
      </c>
      <c r="H101" t="n">
        <v>1103560</v>
      </c>
    </row>
    <row r="102">
      <c r="A102" t="inlineStr">
        <is>
          <t>سامكريت مصر</t>
        </is>
      </c>
      <c r="B102" t="n">
        <v>38800</v>
      </c>
      <c r="C102" t="n">
        <v>40700</v>
      </c>
      <c r="D102" t="inlineStr">
        <is>
          <t>C-102</t>
        </is>
      </c>
      <c r="E102" t="inlineStr">
        <is>
          <t>شيك 45 يوم</t>
        </is>
      </c>
      <c r="F102" s="42" t="n">
        <v>46224</v>
      </c>
      <c r="G102" t="n">
        <v>1448792</v>
      </c>
      <c r="H102" t="n">
        <v>1519738</v>
      </c>
    </row>
    <row r="103">
      <c r="A103" t="inlineStr">
        <is>
          <t>سامكريت مصر</t>
        </is>
      </c>
      <c r="B103" t="n">
        <v>38800</v>
      </c>
      <c r="C103" t="n">
        <v>40700</v>
      </c>
      <c r="D103" t="inlineStr">
        <is>
          <t>C-102</t>
        </is>
      </c>
      <c r="E103" t="inlineStr">
        <is>
          <t>شيك 45 يوم</t>
        </is>
      </c>
      <c r="F103" s="42" t="n">
        <v>46224</v>
      </c>
      <c r="G103" t="n">
        <v>2750532</v>
      </c>
      <c r="H103" t="n">
        <v>2885223</v>
      </c>
    </row>
    <row r="104">
      <c r="A104" t="inlineStr">
        <is>
          <t>سامكريت مصر</t>
        </is>
      </c>
      <c r="B104" t="n">
        <v>38800</v>
      </c>
      <c r="C104" t="n">
        <v>40700</v>
      </c>
      <c r="D104" t="inlineStr">
        <is>
          <t>C-102</t>
        </is>
      </c>
      <c r="E104" t="inlineStr">
        <is>
          <t>شيك 45 يوم</t>
        </is>
      </c>
      <c r="F104" s="42" t="n">
        <v>46224</v>
      </c>
      <c r="G104" t="n">
        <v>783372</v>
      </c>
      <c r="H104" t="n">
        <v>821733</v>
      </c>
    </row>
    <row r="105">
      <c r="A105" t="inlineStr">
        <is>
          <t>سامكريت مصر</t>
        </is>
      </c>
      <c r="B105" t="n">
        <v>38800</v>
      </c>
      <c r="C105" t="n">
        <v>40700</v>
      </c>
      <c r="D105" t="inlineStr">
        <is>
          <t>C-102</t>
        </is>
      </c>
      <c r="E105" t="inlineStr">
        <is>
          <t>شيك 45 يوم</t>
        </is>
      </c>
      <c r="F105" s="42" t="n">
        <v>46224</v>
      </c>
      <c r="G105" t="n">
        <v>151708</v>
      </c>
      <c r="H105" t="n">
        <v>159137</v>
      </c>
    </row>
    <row r="106">
      <c r="A106" t="inlineStr">
        <is>
          <t>سامكريت مصر</t>
        </is>
      </c>
      <c r="B106" t="n">
        <v>38800</v>
      </c>
      <c r="C106" t="n">
        <v>40700</v>
      </c>
      <c r="D106" t="inlineStr">
        <is>
          <t>C-102</t>
        </is>
      </c>
      <c r="E106" t="inlineStr">
        <is>
          <t>شيك 45 يوم</t>
        </is>
      </c>
      <c r="F106" s="42" t="n">
        <v>46224</v>
      </c>
      <c r="G106" t="n">
        <v>226980</v>
      </c>
      <c r="H106" t="n">
        <v>238095</v>
      </c>
    </row>
    <row r="107">
      <c r="A107" t="inlineStr">
        <is>
          <t>عميل التطوير</t>
        </is>
      </c>
      <c r="D107" t="inlineStr">
        <is>
          <t>T-106/1</t>
        </is>
      </c>
      <c r="F107" s="42" t="inlineStr"/>
      <c r="G107" t="n">
        <v>0</v>
      </c>
      <c r="H107" t="n">
        <v>0</v>
      </c>
    </row>
    <row r="108">
      <c r="A108" t="inlineStr">
        <is>
          <t>عميل التطوير</t>
        </is>
      </c>
      <c r="D108" t="inlineStr">
        <is>
          <t>T-106/1</t>
        </is>
      </c>
      <c r="F108" s="42" t="inlineStr"/>
      <c r="G108" t="n">
        <v>0</v>
      </c>
      <c r="H108" t="n">
        <v>0</v>
      </c>
    </row>
    <row r="109">
      <c r="A109" t="inlineStr">
        <is>
          <t>عميل التطوير</t>
        </is>
      </c>
      <c r="D109" t="inlineStr">
        <is>
          <t>T-106/1</t>
        </is>
      </c>
      <c r="F109" s="42" t="inlineStr"/>
      <c r="G109" t="n">
        <v>0</v>
      </c>
      <c r="H109" t="n">
        <v>0</v>
      </c>
    </row>
    <row r="110">
      <c r="A110" t="inlineStr">
        <is>
          <t>عميل التطوير</t>
        </is>
      </c>
      <c r="D110" t="inlineStr">
        <is>
          <t>T-106/1</t>
        </is>
      </c>
      <c r="F110" s="42" t="inlineStr"/>
      <c r="G110" t="n">
        <v>0</v>
      </c>
      <c r="H110" t="n">
        <v>0</v>
      </c>
    </row>
    <row r="111">
      <c r="A111" t="inlineStr">
        <is>
          <t>عميل التطوير</t>
        </is>
      </c>
      <c r="D111" t="inlineStr">
        <is>
          <t>T-106/1</t>
        </is>
      </c>
      <c r="F111" s="42" t="inlineStr"/>
      <c r="G111" t="n">
        <v>0</v>
      </c>
      <c r="H111" t="n">
        <v>0</v>
      </c>
    </row>
    <row r="112">
      <c r="A112" t="inlineStr">
        <is>
          <t>عميل التطوير</t>
        </is>
      </c>
      <c r="D112" t="inlineStr">
        <is>
          <t>T-106/1</t>
        </is>
      </c>
      <c r="F112" s="42" t="inlineStr"/>
      <c r="G112" t="n">
        <v>0</v>
      </c>
      <c r="H112" t="n">
        <v>0</v>
      </c>
    </row>
    <row r="113">
      <c r="A113" t="inlineStr">
        <is>
          <t>عميل التطوير</t>
        </is>
      </c>
      <c r="D113" t="inlineStr">
        <is>
          <t>T-106/1</t>
        </is>
      </c>
      <c r="F113" s="42" t="inlineStr"/>
      <c r="G113" t="n">
        <v>0</v>
      </c>
      <c r="H113" t="n">
        <v>0</v>
      </c>
    </row>
    <row r="114">
      <c r="A114" t="inlineStr">
        <is>
          <t>فالتور</t>
        </is>
      </c>
      <c r="B114" t="n">
        <v>39400</v>
      </c>
      <c r="C114" t="n">
        <v>39950</v>
      </c>
      <c r="D114" t="inlineStr">
        <is>
          <t>C-104-R/1</t>
        </is>
      </c>
      <c r="E114" t="inlineStr">
        <is>
          <t>شيك 30 يوم - شيك 60 يوم - شيك 90 يوم</t>
        </is>
      </c>
      <c r="F114" s="42" t="n">
        <v>46232</v>
      </c>
      <c r="G114" t="n">
        <v>764360</v>
      </c>
      <c r="H114" t="n">
        <v>775030</v>
      </c>
    </row>
    <row r="115">
      <c r="A115" t="inlineStr">
        <is>
          <t>فالتور</t>
        </is>
      </c>
      <c r="B115" t="n">
        <v>39400</v>
      </c>
      <c r="C115" t="n">
        <v>39950</v>
      </c>
      <c r="D115" t="inlineStr">
        <is>
          <t>C-104-R/1</t>
        </is>
      </c>
      <c r="E115" t="inlineStr">
        <is>
          <t>شيك 30 يوم - شيك 60 يوم - شيك 90 يوم</t>
        </is>
      </c>
      <c r="F115" s="42" t="n">
        <v>46232</v>
      </c>
      <c r="G115" t="n">
        <v>541750</v>
      </c>
      <c r="H115" t="n">
        <v>549312.5</v>
      </c>
    </row>
    <row r="116">
      <c r="A116" t="inlineStr">
        <is>
          <t>فالتور</t>
        </is>
      </c>
      <c r="B116" t="n">
        <v>39400</v>
      </c>
      <c r="C116" t="n">
        <v>39950</v>
      </c>
      <c r="D116" t="inlineStr">
        <is>
          <t>C-104-R/1</t>
        </is>
      </c>
      <c r="E116" t="inlineStr">
        <is>
          <t>شيك 30 يوم - شيك 60 يوم - شيك 90 يوم</t>
        </is>
      </c>
      <c r="F116" s="42" t="n">
        <v>46232</v>
      </c>
      <c r="G116" t="n">
        <v>1487350</v>
      </c>
      <c r="H116" t="n">
        <v>1508112.5</v>
      </c>
    </row>
    <row r="117">
      <c r="A117" t="inlineStr">
        <is>
          <t>فالتور</t>
        </is>
      </c>
      <c r="B117" t="n">
        <v>39400</v>
      </c>
      <c r="C117" t="n">
        <v>39950</v>
      </c>
      <c r="D117" t="inlineStr">
        <is>
          <t>C-104-R/1</t>
        </is>
      </c>
      <c r="E117" t="inlineStr">
        <is>
          <t>شيك 30 يوم - شيك 60 يوم - شيك 90 يوم</t>
        </is>
      </c>
      <c r="F117" s="42" t="n">
        <v>46232</v>
      </c>
      <c r="G117" t="n">
        <v>890637</v>
      </c>
      <c r="H117" t="n">
        <v>903069.75</v>
      </c>
    </row>
    <row r="118">
      <c r="A118" t="inlineStr">
        <is>
          <t>فالتور</t>
        </is>
      </c>
      <c r="B118" t="n">
        <v>39400</v>
      </c>
      <c r="C118" t="n">
        <v>39950</v>
      </c>
      <c r="D118" t="inlineStr">
        <is>
          <t>C-104-R/1</t>
        </is>
      </c>
      <c r="E118" t="inlineStr">
        <is>
          <t>شيك 30 يوم - شيك 60 يوم - شيك 90 يوم</t>
        </is>
      </c>
      <c r="F118" s="42" t="n">
        <v>46232</v>
      </c>
      <c r="G118" t="n">
        <v>1095714</v>
      </c>
      <c r="H118" t="n">
        <v>1111009.5</v>
      </c>
    </row>
    <row r="119">
      <c r="A119" t="inlineStr">
        <is>
          <t>فالتور</t>
        </is>
      </c>
      <c r="B119" t="n">
        <v>39400</v>
      </c>
      <c r="C119" t="n">
        <v>39950</v>
      </c>
      <c r="D119" t="inlineStr">
        <is>
          <t>C-104-R/1</t>
        </is>
      </c>
      <c r="E119" t="inlineStr">
        <is>
          <t>شيك 30 يوم - شيك 60 يوم - شيك 90 يوم</t>
        </is>
      </c>
      <c r="F119" s="42" t="n">
        <v>46232</v>
      </c>
      <c r="G119" t="n">
        <v>695410</v>
      </c>
      <c r="H119" t="n">
        <v>705117.5</v>
      </c>
    </row>
    <row r="120">
      <c r="A120" t="inlineStr">
        <is>
          <t>فالتور</t>
        </is>
      </c>
      <c r="B120" t="n">
        <v>39400</v>
      </c>
      <c r="C120" t="n">
        <v>39950</v>
      </c>
      <c r="D120" t="inlineStr">
        <is>
          <t>C-104-R/1</t>
        </is>
      </c>
      <c r="E120" t="inlineStr">
        <is>
          <t>شيك 30 يوم - شيك 60 يوم - شيك 90 يوم</t>
        </is>
      </c>
      <c r="F120" s="42" t="n">
        <v>46232</v>
      </c>
      <c r="G120" t="n">
        <v>1566544</v>
      </c>
      <c r="H120" t="n">
        <v>1588412</v>
      </c>
    </row>
    <row r="121">
      <c r="A121" t="inlineStr">
        <is>
          <t>جي دبيو</t>
        </is>
      </c>
      <c r="B121" t="n">
        <v>37800</v>
      </c>
      <c r="C121" t="n">
        <v>39250</v>
      </c>
      <c r="D121" t="inlineStr">
        <is>
          <t>D-105/1</t>
        </is>
      </c>
      <c r="E121" t="inlineStr">
        <is>
          <t>شيك اجل 60  يوم</t>
        </is>
      </c>
      <c r="F121" s="42" t="n">
        <v>46224</v>
      </c>
      <c r="G121" t="n">
        <v>588924</v>
      </c>
      <c r="H121" t="n">
        <v>611515</v>
      </c>
    </row>
    <row r="122">
      <c r="A122" t="inlineStr">
        <is>
          <t>جي دبيو</t>
        </is>
      </c>
      <c r="B122" t="n">
        <v>37800</v>
      </c>
      <c r="C122" t="n">
        <v>39250</v>
      </c>
      <c r="D122" t="inlineStr">
        <is>
          <t>D-105/1</t>
        </is>
      </c>
      <c r="E122" t="inlineStr">
        <is>
          <t>شيك اجل 60  يوم</t>
        </is>
      </c>
      <c r="F122" s="42" t="n">
        <v>46224</v>
      </c>
      <c r="G122" t="n">
        <v>148554</v>
      </c>
      <c r="H122" t="n">
        <v>154252.5</v>
      </c>
    </row>
    <row r="123">
      <c r="A123" t="inlineStr">
        <is>
          <t>جي دبيو</t>
        </is>
      </c>
      <c r="B123" t="n">
        <v>37800</v>
      </c>
      <c r="C123" t="n">
        <v>39250</v>
      </c>
      <c r="D123" t="inlineStr">
        <is>
          <t>D-105/1</t>
        </is>
      </c>
      <c r="E123" t="inlineStr">
        <is>
          <t>شيك اجل 60  يوم</t>
        </is>
      </c>
      <c r="F123" s="42" t="n">
        <v>46224</v>
      </c>
      <c r="G123" t="n">
        <v>592704</v>
      </c>
      <c r="H123" t="n">
        <v>615440</v>
      </c>
    </row>
    <row r="124">
      <c r="A124" t="inlineStr">
        <is>
          <t>جي دبيو</t>
        </is>
      </c>
      <c r="B124" t="n">
        <v>37800</v>
      </c>
      <c r="C124" t="n">
        <v>39250</v>
      </c>
      <c r="D124" t="inlineStr">
        <is>
          <t>D-105/1</t>
        </is>
      </c>
      <c r="E124" t="inlineStr">
        <is>
          <t>شيك اجل 60  يوم</t>
        </is>
      </c>
      <c r="F124" s="42" t="n">
        <v>46224</v>
      </c>
      <c r="G124" t="n">
        <v>147798</v>
      </c>
      <c r="H124" t="n">
        <v>153467.5</v>
      </c>
    </row>
    <row r="125">
      <c r="A125" t="inlineStr">
        <is>
          <t>ويكادي</t>
        </is>
      </c>
      <c r="B125" t="n">
        <v>37500</v>
      </c>
      <c r="C125" t="n">
        <v>37700</v>
      </c>
      <c r="D125" t="n">
        <v>26</v>
      </c>
      <c r="E125" t="inlineStr">
        <is>
          <t>كاش 100%</t>
        </is>
      </c>
      <c r="F125" s="42" t="n">
        <v>46231</v>
      </c>
      <c r="G125" t="n">
        <v>2971500</v>
      </c>
      <c r="H125" t="n">
        <v>2987348</v>
      </c>
    </row>
    <row r="126">
      <c r="A126" t="inlineStr">
        <is>
          <t>خالد صبري</t>
        </is>
      </c>
      <c r="B126" t="n">
        <v>38800</v>
      </c>
      <c r="C126" t="n">
        <v>40500</v>
      </c>
      <c r="D126" t="n">
        <v>27</v>
      </c>
      <c r="E126" t="inlineStr">
        <is>
          <t>شيك 60 يوم</t>
        </is>
      </c>
      <c r="F126" s="42" t="n">
        <v>46232</v>
      </c>
      <c r="G126" t="n">
        <v>1144212</v>
      </c>
      <c r="H126" t="n">
        <v>1194345</v>
      </c>
    </row>
    <row r="127">
      <c r="A127" t="inlineStr">
        <is>
          <t>خالد صبري</t>
        </is>
      </c>
      <c r="B127" t="n">
        <v>38800</v>
      </c>
      <c r="C127" t="n">
        <v>40500</v>
      </c>
      <c r="D127" t="n">
        <v>27</v>
      </c>
      <c r="E127" t="inlineStr">
        <is>
          <t>شيك 60 يوم</t>
        </is>
      </c>
      <c r="F127" s="42" t="n">
        <v>46232</v>
      </c>
      <c r="G127" t="n">
        <v>1520572</v>
      </c>
      <c r="H127" t="n">
        <v>1587195</v>
      </c>
    </row>
    <row r="128">
      <c r="A128" t="inlineStr">
        <is>
          <t>خالد صبري</t>
        </is>
      </c>
      <c r="B128" t="n">
        <v>38800</v>
      </c>
      <c r="C128" t="n">
        <v>40500</v>
      </c>
      <c r="D128" t="n">
        <v>27</v>
      </c>
      <c r="E128" t="inlineStr">
        <is>
          <t>شيك 60 يوم</t>
        </is>
      </c>
      <c r="F128" s="42" t="n">
        <v>46232</v>
      </c>
      <c r="G128" t="n">
        <v>1139944</v>
      </c>
      <c r="H128" t="n">
        <v>1189890</v>
      </c>
    </row>
    <row r="129">
      <c r="A129" t="inlineStr">
        <is>
          <t>ويكادي</t>
        </is>
      </c>
      <c r="B129" t="n">
        <v>38000</v>
      </c>
      <c r="C129" t="n">
        <v>38350</v>
      </c>
      <c r="D129" t="n">
        <v>28</v>
      </c>
      <c r="E129" t="inlineStr">
        <is>
          <t>كاش 25% - شيك شهر</t>
        </is>
      </c>
      <c r="F129" s="42" t="n">
        <v>46234</v>
      </c>
      <c r="G129" t="n">
        <v>1850600</v>
      </c>
      <c r="H129" t="n">
        <v>1867645</v>
      </c>
    </row>
    <row r="130">
      <c r="A130" t="inlineStr">
        <is>
          <t>ويكادي</t>
        </is>
      </c>
      <c r="B130" t="n">
        <v>38000</v>
      </c>
      <c r="C130" t="n">
        <v>38350</v>
      </c>
      <c r="D130" t="n">
        <v>28</v>
      </c>
      <c r="E130" t="inlineStr">
        <is>
          <t>كاش 25% - شيك شهر</t>
        </is>
      </c>
      <c r="F130" s="42" t="n">
        <v>46234</v>
      </c>
      <c r="G130" t="n">
        <v>1862000</v>
      </c>
      <c r="H130" t="n">
        <v>1879150</v>
      </c>
    </row>
    <row r="131">
      <c r="A131" t="inlineStr">
        <is>
          <t>سامكريت مصر</t>
        </is>
      </c>
      <c r="C131" t="n">
        <v>0</v>
      </c>
      <c r="D131" t="n">
        <v>44</v>
      </c>
      <c r="E131" t="inlineStr">
        <is>
          <t>شيك اجل 60 يوم</t>
        </is>
      </c>
      <c r="F131" s="42" t="inlineStr"/>
      <c r="G131" t="n">
        <v>0</v>
      </c>
      <c r="H131" t="n">
        <v>0</v>
      </c>
    </row>
    <row r="132">
      <c r="A132" t="inlineStr">
        <is>
          <t>سامكريت مصر</t>
        </is>
      </c>
      <c r="C132" t="n">
        <v>0</v>
      </c>
      <c r="D132" t="n">
        <v>44</v>
      </c>
      <c r="E132" t="inlineStr">
        <is>
          <t>شيك اجل 60 يوم</t>
        </is>
      </c>
      <c r="F132" s="42" t="inlineStr"/>
      <c r="G132" t="n">
        <v>0</v>
      </c>
      <c r="H132" t="n">
        <v>0</v>
      </c>
    </row>
    <row r="133">
      <c r="A133" t="inlineStr">
        <is>
          <t>سامكريت مصر</t>
        </is>
      </c>
      <c r="C133" t="n">
        <v>0</v>
      </c>
      <c r="D133" t="n">
        <v>44</v>
      </c>
      <c r="E133" t="inlineStr">
        <is>
          <t>شيك اجل 60 يوم</t>
        </is>
      </c>
      <c r="F133" s="42" t="inlineStr"/>
      <c r="G133" t="n">
        <v>0</v>
      </c>
      <c r="H133" t="n">
        <v>0</v>
      </c>
    </row>
    <row r="134">
      <c r="A134" t="inlineStr">
        <is>
          <t>سامكريت مصر</t>
        </is>
      </c>
      <c r="C134" t="n">
        <v>0</v>
      </c>
      <c r="D134" t="n">
        <v>44</v>
      </c>
      <c r="E134" t="inlineStr">
        <is>
          <t>شيك اجل 60 يوم</t>
        </is>
      </c>
      <c r="F134" s="42" t="inlineStr"/>
      <c r="G134" t="n">
        <v>0</v>
      </c>
      <c r="H134" t="n">
        <v>0</v>
      </c>
    </row>
    <row r="135">
      <c r="A135" t="inlineStr">
        <is>
          <t>فالتور</t>
        </is>
      </c>
      <c r="B135" t="n">
        <v>39450</v>
      </c>
      <c r="C135" t="n">
        <v>39950</v>
      </c>
      <c r="D135" t="n">
        <v>31</v>
      </c>
      <c r="E135" t="inlineStr">
        <is>
          <t>شيك 30 يوم - شيك 60 يوم - شيك 90 يوم</t>
        </is>
      </c>
      <c r="F135" s="42" t="n">
        <v>46240</v>
      </c>
      <c r="G135" t="n">
        <v>1952775</v>
      </c>
      <c r="H135" t="n">
        <v>1977525</v>
      </c>
    </row>
    <row r="136">
      <c r="A136" t="inlineStr">
        <is>
          <t>فالتور</t>
        </is>
      </c>
      <c r="B136" t="n">
        <v>39450</v>
      </c>
      <c r="C136" t="n">
        <v>39950</v>
      </c>
      <c r="D136" t="n">
        <v>31</v>
      </c>
      <c r="E136" t="inlineStr">
        <is>
          <t>شيك 30 يوم - شيك 60 يوم - شيك 90 يوم</t>
        </is>
      </c>
      <c r="F136" s="42" t="n">
        <v>46240</v>
      </c>
      <c r="G136" t="n">
        <v>1948041</v>
      </c>
      <c r="H136" t="n">
        <v>1972731</v>
      </c>
    </row>
    <row r="137">
      <c r="A137" t="inlineStr">
        <is>
          <t>فالتور</t>
        </is>
      </c>
      <c r="B137" t="n">
        <v>39450</v>
      </c>
      <c r="C137" t="n">
        <v>39950</v>
      </c>
      <c r="D137" t="n">
        <v>31</v>
      </c>
      <c r="E137" t="inlineStr">
        <is>
          <t>شيك 30 يوم - شيك 60 يوم - شيك 90 يوم</t>
        </is>
      </c>
      <c r="F137" s="42" t="n">
        <v>46240</v>
      </c>
      <c r="G137" t="n">
        <v>1958298</v>
      </c>
      <c r="H137" t="n">
        <v>1983118</v>
      </c>
    </row>
    <row r="138">
      <c r="A138" t="inlineStr">
        <is>
          <t>فالتور</t>
        </is>
      </c>
      <c r="B138" t="n">
        <v>39450</v>
      </c>
      <c r="C138" t="n">
        <v>39950</v>
      </c>
      <c r="D138" t="n">
        <v>31</v>
      </c>
      <c r="E138" t="inlineStr">
        <is>
          <t>شيك 30 يوم - شيك 60 يوم - شيك 90 يوم</t>
        </is>
      </c>
      <c r="F138" s="42" t="n">
        <v>46240</v>
      </c>
      <c r="G138" t="n">
        <v>2221429.5</v>
      </c>
      <c r="H138" t="n">
        <v>2249584.5</v>
      </c>
    </row>
    <row r="139">
      <c r="A139" t="inlineStr">
        <is>
          <t>فالتور</t>
        </is>
      </c>
      <c r="B139" t="n">
        <v>39450</v>
      </c>
      <c r="C139" t="n">
        <v>39950</v>
      </c>
      <c r="D139" t="n">
        <v>31</v>
      </c>
      <c r="E139" t="inlineStr">
        <is>
          <t>شيك 30 يوم - شيك 60 يوم - شيك 90 يوم</t>
        </is>
      </c>
      <c r="F139" s="42" t="n">
        <v>46240</v>
      </c>
      <c r="G139" t="n">
        <v>8194554</v>
      </c>
      <c r="H139" t="n">
        <v>8298414</v>
      </c>
    </row>
    <row r="140">
      <c r="A140" t="inlineStr">
        <is>
          <t>فالتور</t>
        </is>
      </c>
      <c r="B140" t="n">
        <v>39450</v>
      </c>
      <c r="C140" t="n">
        <v>39950</v>
      </c>
      <c r="D140" t="n">
        <v>31</v>
      </c>
      <c r="E140" t="inlineStr">
        <is>
          <t>شيك 30 يوم - شيك 60 يوم - شيك 90 يوم</t>
        </is>
      </c>
      <c r="F140" s="42" t="n">
        <v>46240</v>
      </c>
      <c r="G140" t="n">
        <v>3625060.5</v>
      </c>
      <c r="H140" t="n">
        <v>3671005.5</v>
      </c>
    </row>
    <row r="141">
      <c r="A141" t="inlineStr">
        <is>
          <t>فالتور</t>
        </is>
      </c>
      <c r="B141" t="n">
        <v>39450</v>
      </c>
      <c r="C141" t="n">
        <v>39950</v>
      </c>
      <c r="D141" t="n">
        <v>31</v>
      </c>
      <c r="E141" t="inlineStr">
        <is>
          <t>شيك 30 يوم - شيك 60 يوم - شيك 90 يوم</t>
        </is>
      </c>
      <c r="F141" s="42" t="n">
        <v>46240</v>
      </c>
      <c r="G141" t="n">
        <v>854092.5</v>
      </c>
      <c r="H141" t="n">
        <v>864917.5</v>
      </c>
    </row>
    <row r="142">
      <c r="A142" t="inlineStr">
        <is>
          <t>ويكادي</t>
        </is>
      </c>
      <c r="B142" t="n">
        <v>38100</v>
      </c>
      <c r="C142" t="n">
        <v>38350</v>
      </c>
      <c r="D142" t="n">
        <v>32</v>
      </c>
      <c r="E142" t="inlineStr">
        <is>
          <t>كاش 50% - شيك اجل شهر</t>
        </is>
      </c>
      <c r="F142" s="42" t="n">
        <v>46240</v>
      </c>
      <c r="G142" t="n">
        <v>222885</v>
      </c>
      <c r="H142" t="n">
        <v>224347.5</v>
      </c>
    </row>
    <row r="143">
      <c r="A143" t="inlineStr">
        <is>
          <t>ويكادي</t>
        </is>
      </c>
      <c r="B143" t="n">
        <v>38100</v>
      </c>
      <c r="C143" t="n">
        <v>38350</v>
      </c>
      <c r="D143" t="n">
        <v>32</v>
      </c>
      <c r="E143" t="inlineStr">
        <is>
          <t>كاش 50% - شيك اجل شهر</t>
        </is>
      </c>
      <c r="F143" s="42" t="n">
        <v>46240</v>
      </c>
      <c r="G143" t="n">
        <v>730758</v>
      </c>
      <c r="H143" t="n">
        <v>735553</v>
      </c>
    </row>
    <row r="144">
      <c r="A144" t="inlineStr">
        <is>
          <t>ويكادي</t>
        </is>
      </c>
      <c r="B144" t="n">
        <v>38100</v>
      </c>
      <c r="C144" t="n">
        <v>38350</v>
      </c>
      <c r="D144" t="n">
        <v>32</v>
      </c>
      <c r="E144" t="inlineStr">
        <is>
          <t>كاش 50% - شيك اجل شهر</t>
        </is>
      </c>
      <c r="F144" s="42" t="n">
        <v>46240</v>
      </c>
      <c r="G144" t="n">
        <v>1146429</v>
      </c>
      <c r="H144" t="n">
        <v>1153951.5</v>
      </c>
    </row>
    <row r="145">
      <c r="A145" t="inlineStr">
        <is>
          <t>ويكادي</t>
        </is>
      </c>
      <c r="B145" t="n">
        <v>38100</v>
      </c>
      <c r="C145" t="n">
        <v>38350</v>
      </c>
      <c r="D145" t="n">
        <v>32</v>
      </c>
      <c r="E145" t="inlineStr">
        <is>
          <t>كاش 50% - شيك اجل شهر</t>
        </is>
      </c>
      <c r="F145" s="42" t="n">
        <v>46240</v>
      </c>
      <c r="G145" t="n">
        <v>153924</v>
      </c>
      <c r="H145" t="n">
        <v>154934</v>
      </c>
    </row>
    <row r="146">
      <c r="A146" t="inlineStr">
        <is>
          <t>ويكادي</t>
        </is>
      </c>
      <c r="B146" t="n">
        <v>37500</v>
      </c>
      <c r="C146" t="n">
        <v>37700</v>
      </c>
      <c r="D146" t="n">
        <v>33</v>
      </c>
      <c r="E146" t="inlineStr">
        <is>
          <t>كاش 100%</t>
        </is>
      </c>
      <c r="F146" s="42" t="n">
        <v>46243</v>
      </c>
      <c r="G146" t="n">
        <v>1095750</v>
      </c>
      <c r="H146" t="n">
        <v>1101594</v>
      </c>
    </row>
    <row r="147">
      <c r="A147" t="inlineStr">
        <is>
          <t>ويكادي</t>
        </is>
      </c>
      <c r="B147" t="n">
        <v>37500</v>
      </c>
      <c r="C147" t="n">
        <v>37700</v>
      </c>
      <c r="D147" t="n">
        <v>33</v>
      </c>
      <c r="E147" t="inlineStr">
        <is>
          <t>كاش 100%</t>
        </is>
      </c>
      <c r="F147" s="42" t="n">
        <v>46243</v>
      </c>
      <c r="G147" t="n">
        <v>724874.9999999999</v>
      </c>
      <c r="H147" t="n">
        <v>728740.9999999999</v>
      </c>
    </row>
    <row r="148">
      <c r="A148" t="inlineStr">
        <is>
          <t>ويكادي</t>
        </is>
      </c>
      <c r="B148" t="n">
        <v>37500</v>
      </c>
      <c r="C148" t="n">
        <v>37700</v>
      </c>
      <c r="D148" t="n">
        <v>33</v>
      </c>
      <c r="E148" t="inlineStr">
        <is>
          <t>كاش 100%</t>
        </is>
      </c>
      <c r="F148" s="42" t="n">
        <v>46243</v>
      </c>
      <c r="G148" t="n">
        <v>746625</v>
      </c>
      <c r="H148" t="n">
        <v>750607</v>
      </c>
    </row>
    <row r="149">
      <c r="A149" t="inlineStr">
        <is>
          <t>ويكادي</t>
        </is>
      </c>
      <c r="B149" t="n">
        <v>37500</v>
      </c>
      <c r="C149" t="n">
        <v>37700</v>
      </c>
      <c r="D149" t="n">
        <v>33</v>
      </c>
      <c r="E149" t="inlineStr">
        <is>
          <t>كاش 100%</t>
        </is>
      </c>
      <c r="F149" s="42" t="n">
        <v>46243</v>
      </c>
      <c r="G149" t="n">
        <v>78750</v>
      </c>
      <c r="H149" t="n">
        <v>79170</v>
      </c>
    </row>
    <row r="150">
      <c r="A150" t="inlineStr">
        <is>
          <t>ويكادي</t>
        </is>
      </c>
      <c r="B150" t="n">
        <v>38250</v>
      </c>
      <c r="C150" t="n">
        <v>38650</v>
      </c>
      <c r="D150" t="n">
        <v>34</v>
      </c>
      <c r="E150" t="inlineStr">
        <is>
          <t>كاش 50% - شيك اجل شهر</t>
        </is>
      </c>
      <c r="F150" s="42" t="n">
        <v>46243</v>
      </c>
      <c r="G150" t="n">
        <v>147645</v>
      </c>
      <c r="H150" t="n">
        <v>149189</v>
      </c>
    </row>
    <row r="151">
      <c r="A151" t="inlineStr">
        <is>
          <t>ويكادي</t>
        </is>
      </c>
      <c r="B151" t="n">
        <v>38250</v>
      </c>
      <c r="C151" t="n">
        <v>38650</v>
      </c>
      <c r="D151" t="n">
        <v>34</v>
      </c>
      <c r="E151" t="inlineStr">
        <is>
          <t>كاش 50% - شيك اجل شهر</t>
        </is>
      </c>
      <c r="F151" s="42" t="n">
        <v>46243</v>
      </c>
      <c r="G151" t="n">
        <v>148410</v>
      </c>
      <c r="H151" t="n">
        <v>149962</v>
      </c>
    </row>
    <row r="152">
      <c r="A152" t="inlineStr">
        <is>
          <t>ويكادي</t>
        </is>
      </c>
      <c r="B152" t="n">
        <v>38250</v>
      </c>
      <c r="C152" t="n">
        <v>38650</v>
      </c>
      <c r="D152" t="n">
        <v>34</v>
      </c>
      <c r="E152" t="inlineStr">
        <is>
          <t>كاش 50% - شيك اجل شهر</t>
        </is>
      </c>
      <c r="F152" s="42" t="n">
        <v>46243</v>
      </c>
      <c r="G152" t="n">
        <v>2174895</v>
      </c>
      <c r="H152" t="n">
        <v>2197639</v>
      </c>
    </row>
    <row r="153">
      <c r="A153" t="inlineStr">
        <is>
          <t>خالد صبري</t>
        </is>
      </c>
      <c r="B153" t="n">
        <v>39450</v>
      </c>
      <c r="C153" t="n">
        <v>40100</v>
      </c>
      <c r="D153" t="n">
        <v>36</v>
      </c>
      <c r="E153" t="inlineStr">
        <is>
          <t>شيك اجل 60 يوم</t>
        </is>
      </c>
      <c r="F153" s="42" t="n">
        <v>46245</v>
      </c>
      <c r="G153" t="n">
        <v>76927.5</v>
      </c>
      <c r="H153" t="n">
        <v>78195</v>
      </c>
    </row>
    <row r="154">
      <c r="A154" t="inlineStr">
        <is>
          <t>خالد صبري</t>
        </is>
      </c>
      <c r="B154" t="n">
        <v>39450</v>
      </c>
      <c r="C154" t="n">
        <v>40100</v>
      </c>
      <c r="D154" t="n">
        <v>36</v>
      </c>
      <c r="E154" t="inlineStr">
        <is>
          <t>شيك اجل 60 يوم</t>
        </is>
      </c>
      <c r="F154" s="42" t="n">
        <v>46245</v>
      </c>
      <c r="G154" t="n">
        <v>847780.4999999999</v>
      </c>
      <c r="H154" t="n">
        <v>861748.9999999999</v>
      </c>
    </row>
    <row r="155">
      <c r="A155" t="inlineStr">
        <is>
          <t>خالد صبري</t>
        </is>
      </c>
      <c r="B155" t="n">
        <v>39450</v>
      </c>
      <c r="C155" t="n">
        <v>40100</v>
      </c>
      <c r="D155" t="n">
        <v>36</v>
      </c>
      <c r="E155" t="inlineStr">
        <is>
          <t>شيك اجل 60 يوم</t>
        </is>
      </c>
      <c r="F155" s="42" t="n">
        <v>46245</v>
      </c>
      <c r="G155" t="n">
        <v>1082902.5</v>
      </c>
      <c r="H155" t="n">
        <v>1100745</v>
      </c>
    </row>
    <row r="156">
      <c r="A156" t="inlineStr">
        <is>
          <t>خالد صبري</t>
        </is>
      </c>
      <c r="B156" t="n">
        <v>39450</v>
      </c>
      <c r="C156" t="n">
        <v>40100</v>
      </c>
      <c r="D156" t="n">
        <v>36</v>
      </c>
      <c r="E156" t="inlineStr">
        <is>
          <t>شيك اجل 60 يوم</t>
        </is>
      </c>
      <c r="F156" s="42" t="n">
        <v>46245</v>
      </c>
      <c r="G156" t="n">
        <v>2158704</v>
      </c>
      <c r="H156" t="n">
        <v>2194272</v>
      </c>
    </row>
    <row r="157">
      <c r="A157" t="inlineStr">
        <is>
          <t>خالد صبري</t>
        </is>
      </c>
      <c r="B157" t="n">
        <v>39450</v>
      </c>
      <c r="C157" t="n">
        <v>40100</v>
      </c>
      <c r="D157" t="n">
        <v>36</v>
      </c>
      <c r="E157" t="inlineStr">
        <is>
          <t>شيك اجل 60 يوم</t>
        </is>
      </c>
      <c r="F157" s="42" t="n">
        <v>46245</v>
      </c>
      <c r="G157" t="n">
        <v>464326.5</v>
      </c>
      <c r="H157" t="n">
        <v>471977</v>
      </c>
    </row>
    <row r="158">
      <c r="A158" t="inlineStr">
        <is>
          <t>خالد صبري</t>
        </is>
      </c>
      <c r="B158" t="n">
        <v>39450</v>
      </c>
      <c r="C158" t="n">
        <v>40100</v>
      </c>
      <c r="D158" t="n">
        <v>36</v>
      </c>
      <c r="E158" t="inlineStr">
        <is>
          <t>شيك اجل 60 يوم</t>
        </is>
      </c>
      <c r="F158" s="42" t="n">
        <v>46245</v>
      </c>
      <c r="G158" t="n">
        <v>459987</v>
      </c>
      <c r="H158" t="n">
        <v>467566</v>
      </c>
    </row>
    <row r="159">
      <c r="A159" t="inlineStr">
        <is>
          <t>فالتور</t>
        </is>
      </c>
      <c r="B159" t="n">
        <v>39450</v>
      </c>
      <c r="C159" t="n">
        <v>39950</v>
      </c>
      <c r="D159" t="n">
        <v>37</v>
      </c>
      <c r="E159" t="inlineStr">
        <is>
          <t>شيك 30 يوم - شيك 60 يوم - شيك 90 يوم</t>
        </is>
      </c>
      <c r="F159" s="42" t="n">
        <v>46250</v>
      </c>
      <c r="G159" t="n">
        <v>4560814.500000001</v>
      </c>
      <c r="H159" t="n">
        <v>4618619.500000001</v>
      </c>
    </row>
    <row r="160">
      <c r="A160" t="inlineStr">
        <is>
          <t>فالتور</t>
        </is>
      </c>
      <c r="B160" t="n">
        <v>39450</v>
      </c>
      <c r="C160" t="n">
        <v>39950</v>
      </c>
      <c r="D160" t="n">
        <v>37</v>
      </c>
      <c r="E160" t="inlineStr">
        <is>
          <t>شيك 30 يوم - شيك 60 يوم - شيك 90 يوم</t>
        </is>
      </c>
      <c r="F160" s="42" t="n">
        <v>46250</v>
      </c>
      <c r="G160" t="n">
        <v>463932</v>
      </c>
      <c r="H160" t="n">
        <v>469812</v>
      </c>
    </row>
    <row r="161">
      <c r="A161" t="inlineStr">
        <is>
          <t>فالتور</t>
        </is>
      </c>
      <c r="B161" t="n">
        <v>39450</v>
      </c>
      <c r="C161" t="n">
        <v>39950</v>
      </c>
      <c r="D161" t="n">
        <v>37</v>
      </c>
      <c r="E161" t="inlineStr">
        <is>
          <t>شيك 30 يوم - شيك 60 يوم - شيك 90 يوم</t>
        </is>
      </c>
      <c r="F161" s="42" t="n">
        <v>46250</v>
      </c>
      <c r="G161" t="n">
        <v>926286</v>
      </c>
      <c r="H161" t="n">
        <v>938026</v>
      </c>
    </row>
    <row r="162">
      <c r="A162" t="inlineStr">
        <is>
          <t>فالتور</t>
        </is>
      </c>
      <c r="B162" t="n">
        <v>39450</v>
      </c>
      <c r="C162" t="n">
        <v>39950</v>
      </c>
      <c r="D162" t="n">
        <v>37</v>
      </c>
      <c r="E162" t="inlineStr">
        <is>
          <t>شيك 30 يوم - شيك 60 يوم - شيك 90 يوم</t>
        </is>
      </c>
      <c r="F162" s="42" t="n">
        <v>46250</v>
      </c>
      <c r="G162" t="n">
        <v>154249.5</v>
      </c>
      <c r="H162" t="n">
        <v>156204.5</v>
      </c>
    </row>
    <row r="163">
      <c r="A163" t="inlineStr">
        <is>
          <t>فالتور</t>
        </is>
      </c>
      <c r="B163" t="n">
        <v>39450</v>
      </c>
      <c r="C163" t="n">
        <v>39950</v>
      </c>
      <c r="D163" t="n">
        <v>37</v>
      </c>
      <c r="E163" t="inlineStr">
        <is>
          <t>شيك 30 يوم - شيك 60 يوم - شيك 90 يوم</t>
        </is>
      </c>
      <c r="F163" s="42" t="n">
        <v>46250</v>
      </c>
      <c r="G163" t="n">
        <v>817404</v>
      </c>
      <c r="H163" t="n">
        <v>827764</v>
      </c>
    </row>
    <row r="164">
      <c r="A164" t="inlineStr">
        <is>
          <t>فالتور</t>
        </is>
      </c>
      <c r="B164" t="n">
        <v>39450</v>
      </c>
      <c r="C164" t="n">
        <v>39950</v>
      </c>
      <c r="D164" t="n">
        <v>37</v>
      </c>
      <c r="E164" t="inlineStr">
        <is>
          <t>شيك 30 يوم - شيك 60 يوم - شيك 90 يوم</t>
        </is>
      </c>
      <c r="F164" s="42" t="n">
        <v>46250</v>
      </c>
      <c r="G164" t="n">
        <v>1844682</v>
      </c>
      <c r="H164" t="n">
        <v>1868062</v>
      </c>
    </row>
    <row r="165">
      <c r="A165" t="inlineStr">
        <is>
          <t>ويكادي</t>
        </is>
      </c>
      <c r="B165" t="n">
        <v>38000</v>
      </c>
      <c r="C165" t="n">
        <v>38050</v>
      </c>
      <c r="D165" t="n">
        <v>38</v>
      </c>
      <c r="E165" t="inlineStr">
        <is>
          <t>كاش 100%</t>
        </is>
      </c>
      <c r="F165" s="42" t="n">
        <v>46250</v>
      </c>
      <c r="G165" t="n">
        <v>1857440</v>
      </c>
      <c r="H165" t="n">
        <v>1859884</v>
      </c>
    </row>
    <row r="166">
      <c r="A166" t="inlineStr">
        <is>
          <t>بينتاكون</t>
        </is>
      </c>
      <c r="B166" t="n">
        <v>39500</v>
      </c>
      <c r="C166" t="n">
        <v>40500</v>
      </c>
      <c r="D166" t="n">
        <v>39</v>
      </c>
      <c r="E166" t="inlineStr">
        <is>
          <t>شيك اجل 60 يوم</t>
        </is>
      </c>
      <c r="F166" s="42" t="n">
        <v>46250</v>
      </c>
      <c r="G166" t="n">
        <v>413565</v>
      </c>
      <c r="H166" t="n">
        <v>424035</v>
      </c>
    </row>
    <row r="167">
      <c r="A167" t="inlineStr">
        <is>
          <t>بينتاكون</t>
        </is>
      </c>
      <c r="B167" t="n">
        <v>39500</v>
      </c>
      <c r="C167" t="n">
        <v>40500</v>
      </c>
      <c r="D167" t="n">
        <v>39</v>
      </c>
      <c r="E167" t="inlineStr">
        <is>
          <t>شيك اجل 60 يوم</t>
        </is>
      </c>
      <c r="F167" s="42" t="n">
        <v>46250</v>
      </c>
      <c r="G167" t="n">
        <v>154445</v>
      </c>
      <c r="H167" t="n">
        <v>158355</v>
      </c>
    </row>
    <row r="168">
      <c r="A168" t="inlineStr">
        <is>
          <t>بينتاكون</t>
        </is>
      </c>
      <c r="B168" t="n">
        <v>39500</v>
      </c>
      <c r="C168" t="n">
        <v>40500</v>
      </c>
      <c r="D168" t="n">
        <v>39</v>
      </c>
      <c r="E168" t="inlineStr">
        <is>
          <t>شيك اجل 60 يوم</t>
        </is>
      </c>
      <c r="F168" s="42" t="n">
        <v>46250</v>
      </c>
      <c r="G168" t="n">
        <v>1399485</v>
      </c>
      <c r="H168" t="n">
        <v>1434915</v>
      </c>
    </row>
    <row r="169">
      <c r="A169" t="inlineStr">
        <is>
          <t>ويكادي</t>
        </is>
      </c>
      <c r="B169" t="n">
        <v>38450</v>
      </c>
      <c r="C169" t="n">
        <v>38800</v>
      </c>
      <c r="D169" t="n">
        <v>40</v>
      </c>
      <c r="E169" t="inlineStr">
        <is>
          <t>كاش 25% - شيك اجل شهر</t>
        </is>
      </c>
      <c r="F169" s="42" t="n">
        <v>46251</v>
      </c>
      <c r="G169" t="n">
        <v>245311</v>
      </c>
      <c r="H169" t="n">
        <v>247544</v>
      </c>
    </row>
    <row r="170">
      <c r="A170" t="inlineStr">
        <is>
          <t>ويكادي</t>
        </is>
      </c>
      <c r="B170" t="n">
        <v>38450</v>
      </c>
      <c r="C170" t="n">
        <v>38800</v>
      </c>
      <c r="D170" t="n">
        <v>40</v>
      </c>
      <c r="E170" t="inlineStr">
        <is>
          <t>كاش 25% - شيك اجل شهر</t>
        </is>
      </c>
      <c r="F170" s="42" t="n">
        <v>46251</v>
      </c>
      <c r="G170" t="n">
        <v>1206176.5</v>
      </c>
      <c r="H170" t="n">
        <v>1217156</v>
      </c>
    </row>
    <row r="171">
      <c r="A171" t="inlineStr">
        <is>
          <t>ويكادي</t>
        </is>
      </c>
      <c r="B171" t="n">
        <v>38450</v>
      </c>
      <c r="C171" t="n">
        <v>38800</v>
      </c>
      <c r="D171" t="n">
        <v>40</v>
      </c>
      <c r="E171" t="inlineStr">
        <is>
          <t>كاش 25% - شيك اجل شهر</t>
        </is>
      </c>
      <c r="F171" s="42" t="n">
        <v>46251</v>
      </c>
      <c r="G171" t="n">
        <v>605587.5</v>
      </c>
      <c r="H171" t="n">
        <v>611100</v>
      </c>
    </row>
    <row r="172">
      <c r="A172" t="inlineStr">
        <is>
          <t>خالد صبري</t>
        </is>
      </c>
      <c r="B172" t="n">
        <v>39500</v>
      </c>
      <c r="C172" t="n">
        <v>40600</v>
      </c>
      <c r="D172" t="n">
        <v>41</v>
      </c>
      <c r="E172" t="inlineStr">
        <is>
          <t>شيك اجل 60 يوم</t>
        </is>
      </c>
      <c r="F172" s="42" t="n">
        <v>46251</v>
      </c>
      <c r="G172" t="n">
        <v>376829.9999999999</v>
      </c>
      <c r="H172" t="n">
        <v>387323.9999999999</v>
      </c>
    </row>
    <row r="173">
      <c r="A173" t="inlineStr">
        <is>
          <t>خالد صبري</t>
        </is>
      </c>
      <c r="B173" t="n">
        <v>39500</v>
      </c>
      <c r="C173" t="n">
        <v>40600</v>
      </c>
      <c r="D173" t="n">
        <v>41</v>
      </c>
      <c r="E173" t="inlineStr">
        <is>
          <t>شيك اجل 60 يوم</t>
        </is>
      </c>
      <c r="F173" s="42" t="n">
        <v>46251</v>
      </c>
      <c r="G173" t="n">
        <v>776175</v>
      </c>
      <c r="H173" t="n">
        <v>797790</v>
      </c>
    </row>
    <row r="174">
      <c r="A174" t="inlineStr">
        <is>
          <t>خالد صبري</t>
        </is>
      </c>
      <c r="B174" t="n">
        <v>39500</v>
      </c>
      <c r="C174" t="n">
        <v>40600</v>
      </c>
      <c r="D174" t="n">
        <v>41</v>
      </c>
      <c r="E174" t="inlineStr">
        <is>
          <t>شيك اجل 60 يوم</t>
        </is>
      </c>
      <c r="F174" s="42" t="n">
        <v>46251</v>
      </c>
      <c r="G174" t="n">
        <v>2752755</v>
      </c>
      <c r="H174" t="n">
        <v>2829414</v>
      </c>
    </row>
    <row r="175">
      <c r="A175" t="inlineStr">
        <is>
          <t>ويكادي</t>
        </is>
      </c>
      <c r="B175" t="n">
        <v>38000</v>
      </c>
      <c r="C175" t="n">
        <v>38050</v>
      </c>
      <c r="D175" t="n">
        <v>42</v>
      </c>
      <c r="E175" t="inlineStr">
        <is>
          <t>كاش 100%</t>
        </is>
      </c>
      <c r="F175" s="42" t="n">
        <v>46252</v>
      </c>
      <c r="G175" t="n">
        <v>2768680</v>
      </c>
      <c r="H175" t="n">
        <v>2772323</v>
      </c>
    </row>
    <row r="176">
      <c r="A176" t="inlineStr">
        <is>
          <t>الشركة المتحده</t>
        </is>
      </c>
      <c r="B176" t="n">
        <v>39750</v>
      </c>
      <c r="C176" t="n">
        <v>40050</v>
      </c>
      <c r="D176" t="n">
        <v>43</v>
      </c>
      <c r="E176" t="inlineStr">
        <is>
          <t>شيك اجل 60 يوم</t>
        </is>
      </c>
      <c r="F176" s="42" t="n">
        <v>46256</v>
      </c>
      <c r="G176" t="n">
        <v>469050</v>
      </c>
      <c r="H176" t="n">
        <v>472590</v>
      </c>
    </row>
    <row r="177">
      <c r="A177" t="inlineStr">
        <is>
          <t>الشركة المتحده</t>
        </is>
      </c>
      <c r="B177" t="n">
        <v>39750</v>
      </c>
      <c r="C177" t="n">
        <v>40050</v>
      </c>
      <c r="D177" t="n">
        <v>43</v>
      </c>
      <c r="E177" t="inlineStr">
        <is>
          <t>شيك اجل 60 يوم</t>
        </is>
      </c>
      <c r="F177" s="42" t="n">
        <v>46256</v>
      </c>
      <c r="G177" t="n">
        <v>2672790</v>
      </c>
      <c r="H177" t="n">
        <v>2692962</v>
      </c>
    </row>
    <row r="178">
      <c r="A178" t="inlineStr">
        <is>
          <t>الشركة المتحده</t>
        </is>
      </c>
      <c r="B178" t="n">
        <v>39750</v>
      </c>
      <c r="C178" t="n">
        <v>40050</v>
      </c>
      <c r="D178" t="n">
        <v>43</v>
      </c>
      <c r="E178" t="inlineStr">
        <is>
          <t>شيك اجل 60 يوم</t>
        </is>
      </c>
      <c r="F178" s="42" t="n">
        <v>46256</v>
      </c>
      <c r="G178" t="n">
        <v>2119350.75</v>
      </c>
      <c r="H178" t="n">
        <v>2135345.85</v>
      </c>
    </row>
    <row r="179">
      <c r="A179" t="inlineStr">
        <is>
          <t>الشركة المتحده</t>
        </is>
      </c>
      <c r="B179" t="n">
        <v>39750</v>
      </c>
      <c r="C179" t="n">
        <v>40050</v>
      </c>
      <c r="D179" t="n">
        <v>43</v>
      </c>
      <c r="E179" t="inlineStr">
        <is>
          <t>شيك اجل 60 يوم</t>
        </is>
      </c>
      <c r="F179" s="42" t="n">
        <v>46256</v>
      </c>
      <c r="G179" t="n">
        <v>1985115</v>
      </c>
      <c r="H179" t="n">
        <v>2000097</v>
      </c>
    </row>
    <row r="180">
      <c r="A180" t="inlineStr">
        <is>
          <t>الشركة المتحده</t>
        </is>
      </c>
      <c r="B180" t="n">
        <v>39750</v>
      </c>
      <c r="C180" t="n">
        <v>40050</v>
      </c>
      <c r="D180" t="n">
        <v>43</v>
      </c>
      <c r="E180" t="inlineStr">
        <is>
          <t>شيك اجل 60 يوم</t>
        </is>
      </c>
      <c r="F180" s="42" t="n">
        <v>46256</v>
      </c>
      <c r="G180" t="n">
        <v>4141274.25</v>
      </c>
      <c r="H180" t="n">
        <v>4172529.15</v>
      </c>
    </row>
    <row r="181">
      <c r="A181" t="inlineStr">
        <is>
          <t>الشركة المتحده</t>
        </is>
      </c>
      <c r="B181" t="n">
        <v>39750</v>
      </c>
      <c r="C181" t="n">
        <v>40050</v>
      </c>
      <c r="D181" t="n">
        <v>43</v>
      </c>
      <c r="E181" t="inlineStr">
        <is>
          <t>شيك اجل 60 يوم</t>
        </is>
      </c>
      <c r="F181" s="42" t="n">
        <v>46256</v>
      </c>
      <c r="G181" t="n">
        <v>6224850</v>
      </c>
      <c r="H181" t="n">
        <v>6271830</v>
      </c>
    </row>
    <row r="182">
      <c r="A182" t="inlineStr">
        <is>
          <t>سامكريت مصر</t>
        </is>
      </c>
      <c r="B182" t="n">
        <v>40000</v>
      </c>
      <c r="C182" t="n">
        <v>41000</v>
      </c>
      <c r="D182" t="n">
        <v>44</v>
      </c>
      <c r="E182" t="inlineStr">
        <is>
          <t>شيك اجل 60 يوم</t>
        </is>
      </c>
      <c r="F182" s="42" t="n">
        <v>46268</v>
      </c>
      <c r="G182" t="n">
        <v>449600</v>
      </c>
      <c r="H182" t="n">
        <v>460840</v>
      </c>
    </row>
    <row r="183">
      <c r="A183" t="inlineStr">
        <is>
          <t>سامكريت مصر</t>
        </is>
      </c>
      <c r="B183" t="n">
        <v>40700</v>
      </c>
      <c r="C183" t="n">
        <v>41000</v>
      </c>
      <c r="D183" t="n">
        <v>44</v>
      </c>
      <c r="E183" t="inlineStr">
        <is>
          <t>شيك اجل 60 يوم</t>
        </is>
      </c>
      <c r="F183" s="42" t="n">
        <v>46268</v>
      </c>
      <c r="G183" t="n">
        <v>3983716</v>
      </c>
      <c r="H183" t="n">
        <v>4013080</v>
      </c>
    </row>
    <row r="184">
      <c r="A184" t="inlineStr">
        <is>
          <t>سامكريت مصر</t>
        </is>
      </c>
      <c r="B184" t="n">
        <v>40000</v>
      </c>
      <c r="C184" t="n">
        <v>41000</v>
      </c>
      <c r="D184" t="n">
        <v>44</v>
      </c>
      <c r="E184" t="inlineStr">
        <is>
          <t>شيك اجل 60 يوم</t>
        </is>
      </c>
      <c r="F184" s="42" t="n">
        <v>46268</v>
      </c>
      <c r="G184" t="n">
        <v>2701600</v>
      </c>
      <c r="H184" t="n">
        <v>2769140</v>
      </c>
    </row>
    <row r="185">
      <c r="A185" t="inlineStr">
        <is>
          <t>ويكادي</t>
        </is>
      </c>
      <c r="B185" t="n">
        <v>38150</v>
      </c>
      <c r="C185" t="n">
        <v>38150</v>
      </c>
      <c r="D185" t="n">
        <v>45</v>
      </c>
      <c r="E185" t="inlineStr">
        <is>
          <t>كاش 100%</t>
        </is>
      </c>
      <c r="F185" s="42" t="n">
        <v>46274</v>
      </c>
      <c r="G185" t="n">
        <v>296807</v>
      </c>
      <c r="H185" t="n">
        <v>296807</v>
      </c>
    </row>
    <row r="186">
      <c r="A186" t="inlineStr">
        <is>
          <t>ويكادي</t>
        </is>
      </c>
      <c r="B186" t="n">
        <v>38150</v>
      </c>
      <c r="C186" t="n">
        <v>38150</v>
      </c>
      <c r="D186" t="n">
        <v>45</v>
      </c>
      <c r="E186" t="inlineStr">
        <is>
          <t>كاش 100%</t>
        </is>
      </c>
      <c r="F186" s="42" t="n">
        <v>46274</v>
      </c>
      <c r="G186" t="n">
        <v>904536.5</v>
      </c>
      <c r="H186" t="n">
        <v>904536.5</v>
      </c>
    </row>
    <row r="187">
      <c r="A187" t="inlineStr">
        <is>
          <t>ويكادي</t>
        </is>
      </c>
      <c r="B187" t="n">
        <v>38150</v>
      </c>
      <c r="C187" t="n">
        <v>38150</v>
      </c>
      <c r="D187" t="n">
        <v>45</v>
      </c>
      <c r="E187" t="inlineStr">
        <is>
          <t>كاش 100%</t>
        </is>
      </c>
      <c r="F187" s="42" t="n">
        <v>46274</v>
      </c>
      <c r="G187" t="n">
        <v>743543.4999999999</v>
      </c>
      <c r="H187" t="n">
        <v>743543.4999999999</v>
      </c>
    </row>
    <row r="188">
      <c r="A188" t="inlineStr">
        <is>
          <t>ويكادي</t>
        </is>
      </c>
      <c r="B188" t="n">
        <v>38150</v>
      </c>
      <c r="C188" t="n">
        <v>38150</v>
      </c>
      <c r="D188" t="n">
        <v>45</v>
      </c>
      <c r="E188" t="inlineStr">
        <is>
          <t>كاش 100%</t>
        </is>
      </c>
      <c r="F188" s="42" t="n">
        <v>46274</v>
      </c>
      <c r="G188" t="n">
        <v>448644</v>
      </c>
      <c r="H188" t="n">
        <v>448644</v>
      </c>
    </row>
    <row r="189">
      <c r="A189" t="inlineStr">
        <is>
          <t>فالتور</t>
        </is>
      </c>
      <c r="B189" t="n">
        <v>39000</v>
      </c>
      <c r="C189" t="n">
        <v>39600</v>
      </c>
      <c r="D189" t="n">
        <v>46</v>
      </c>
      <c r="E189" t="inlineStr">
        <is>
          <t>كاش 34% - شيك اجل 10 يوم - شيك اجل 40 يوم</t>
        </is>
      </c>
      <c r="F189" s="42" t="n">
        <v>46281</v>
      </c>
      <c r="G189" t="n">
        <v>5037629.999999999</v>
      </c>
      <c r="H189" t="n">
        <v>5115131.999999999</v>
      </c>
    </row>
    <row r="190">
      <c r="A190" t="inlineStr">
        <is>
          <t>فالتور</t>
        </is>
      </c>
      <c r="B190" t="n">
        <v>39000</v>
      </c>
      <c r="C190" t="n">
        <v>39600</v>
      </c>
      <c r="D190" t="n">
        <v>46</v>
      </c>
      <c r="E190" t="inlineStr">
        <is>
          <t>كاش 34% - شيك اجل 10 يوم - شيك اجل 40 يوم</t>
        </is>
      </c>
      <c r="F190" s="42" t="n">
        <v>46281</v>
      </c>
      <c r="G190" t="n">
        <v>306540</v>
      </c>
      <c r="H190" t="n">
        <v>311256</v>
      </c>
    </row>
    <row r="191">
      <c r="A191" t="inlineStr">
        <is>
          <t>فالتور</t>
        </is>
      </c>
      <c r="B191" t="n">
        <v>39000</v>
      </c>
      <c r="C191" t="n">
        <v>39600</v>
      </c>
      <c r="D191" t="n">
        <v>46</v>
      </c>
      <c r="E191" t="inlineStr">
        <is>
          <t>كاش 34% - شيك اجل 10 يوم - شيك اجل 40 يوم</t>
        </is>
      </c>
      <c r="F191" s="42" t="n">
        <v>46281</v>
      </c>
      <c r="G191" t="n">
        <v>3288870</v>
      </c>
      <c r="H191" t="n">
        <v>3339468</v>
      </c>
    </row>
    <row r="192">
      <c r="A192" t="inlineStr">
        <is>
          <t>فالتور</t>
        </is>
      </c>
      <c r="B192" t="n">
        <v>39000</v>
      </c>
      <c r="C192" t="n">
        <v>39600</v>
      </c>
      <c r="D192" t="n">
        <v>46</v>
      </c>
      <c r="E192" t="inlineStr">
        <is>
          <t>كاش 34% - شيك اجل 10 يوم - شيك اجل 40 يوم</t>
        </is>
      </c>
      <c r="F192" s="42" t="n">
        <v>46281</v>
      </c>
      <c r="G192" t="n">
        <v>229710</v>
      </c>
      <c r="H192" t="n">
        <v>233244</v>
      </c>
    </row>
    <row r="193">
      <c r="A193" t="inlineStr">
        <is>
          <t>فالتور</t>
        </is>
      </c>
      <c r="B193" t="n">
        <v>39000</v>
      </c>
      <c r="C193" t="n">
        <v>39600</v>
      </c>
      <c r="D193" t="n">
        <v>46</v>
      </c>
      <c r="E193" t="inlineStr">
        <is>
          <t>كاش 34% - شيك اجل 10 يوم - شيك اجل 40 يوم</t>
        </is>
      </c>
      <c r="F193" s="42" t="n">
        <v>46281</v>
      </c>
      <c r="G193" t="n">
        <v>539370</v>
      </c>
      <c r="H193" t="n">
        <v>547668</v>
      </c>
    </row>
    <row r="194">
      <c r="A194" t="inlineStr">
        <is>
          <t>فالتور</t>
        </is>
      </c>
      <c r="B194" t="n">
        <v>39000</v>
      </c>
      <c r="C194" t="n">
        <v>39600</v>
      </c>
      <c r="D194" t="n">
        <v>46</v>
      </c>
      <c r="E194" t="inlineStr">
        <is>
          <t>كاش 34% - شيك اجل 10 يوم - شيك اجل 40 يوم</t>
        </is>
      </c>
      <c r="F194" s="42" t="n">
        <v>46281</v>
      </c>
      <c r="G194" t="n">
        <v>381420</v>
      </c>
      <c r="H194" t="n">
        <v>387288</v>
      </c>
    </row>
    <row r="195">
      <c r="A195" t="inlineStr">
        <is>
          <t>ويكادي</t>
        </is>
      </c>
      <c r="B195" t="n">
        <v>38600</v>
      </c>
      <c r="C195" t="n">
        <v>38800</v>
      </c>
      <c r="D195" t="n">
        <v>47</v>
      </c>
      <c r="F195" s="42" t="n">
        <v>46284</v>
      </c>
      <c r="G195" t="n">
        <v>2483910</v>
      </c>
      <c r="H195" t="n">
        <v>2496780</v>
      </c>
    </row>
    <row r="196">
      <c r="A196" t="inlineStr">
        <is>
          <t>ويكادي</t>
        </is>
      </c>
      <c r="B196" t="n">
        <v>38600</v>
      </c>
      <c r="C196" t="n">
        <v>38800</v>
      </c>
      <c r="D196" t="n">
        <v>47</v>
      </c>
      <c r="F196" s="42" t="n">
        <v>46284</v>
      </c>
      <c r="G196" t="n">
        <v>489834</v>
      </c>
      <c r="H196" t="n">
        <v>492372</v>
      </c>
    </row>
    <row r="197">
      <c r="A197" t="inlineStr">
        <is>
          <t>ويكادي</t>
        </is>
      </c>
      <c r="B197" t="n">
        <v>38600</v>
      </c>
      <c r="C197" t="n">
        <v>38800</v>
      </c>
      <c r="D197" t="n">
        <v>47</v>
      </c>
      <c r="F197" s="42" t="n">
        <v>46284</v>
      </c>
      <c r="G197" t="n">
        <v>601002</v>
      </c>
      <c r="H197" t="n">
        <v>604116</v>
      </c>
    </row>
    <row r="198">
      <c r="A198" t="inlineStr">
        <is>
          <t>ويكادي</t>
        </is>
      </c>
      <c r="B198" t="n">
        <v>38600</v>
      </c>
      <c r="C198" t="n">
        <v>38800</v>
      </c>
      <c r="D198" t="n">
        <v>47</v>
      </c>
      <c r="F198" s="42" t="n">
        <v>46284</v>
      </c>
      <c r="G198" t="n">
        <v>979282</v>
      </c>
      <c r="H198" t="n">
        <v>984356</v>
      </c>
    </row>
    <row r="199">
      <c r="A199" t="inlineStr">
        <is>
          <t>ويكادي</t>
        </is>
      </c>
      <c r="B199" t="n">
        <v>38100</v>
      </c>
      <c r="C199" t="n">
        <v>38150</v>
      </c>
      <c r="D199" t="n">
        <v>48</v>
      </c>
      <c r="E199" t="inlineStr">
        <is>
          <t>كاش 100%</t>
        </is>
      </c>
      <c r="F199" s="42" t="n">
        <v>46284</v>
      </c>
      <c r="G199" t="n">
        <v>244602</v>
      </c>
      <c r="H199" t="n">
        <v>244923</v>
      </c>
    </row>
    <row r="200">
      <c r="A200" t="inlineStr">
        <is>
          <t>ويكادي</t>
        </is>
      </c>
      <c r="B200" t="n">
        <v>38100</v>
      </c>
      <c r="C200" t="n">
        <v>38150</v>
      </c>
      <c r="D200" t="n">
        <v>48</v>
      </c>
      <c r="E200" t="inlineStr">
        <is>
          <t>كاش 100%</t>
        </is>
      </c>
      <c r="F200" s="42" t="n">
        <v>46284</v>
      </c>
      <c r="G200" t="n">
        <v>231267</v>
      </c>
      <c r="H200" t="n">
        <v>231570.5</v>
      </c>
    </row>
    <row r="201">
      <c r="A201" t="inlineStr">
        <is>
          <t>ويكادي</t>
        </is>
      </c>
      <c r="B201" t="n">
        <v>38100</v>
      </c>
      <c r="C201" t="n">
        <v>38150</v>
      </c>
      <c r="D201" t="n">
        <v>48</v>
      </c>
      <c r="E201" t="inlineStr">
        <is>
          <t>كاش 100%</t>
        </is>
      </c>
      <c r="F201" s="42" t="n">
        <v>46284</v>
      </c>
      <c r="G201" t="n">
        <v>373380</v>
      </c>
      <c r="H201" t="n">
        <v>373870</v>
      </c>
    </row>
    <row r="202">
      <c r="A202" t="inlineStr">
        <is>
          <t>ويكادي</t>
        </is>
      </c>
      <c r="B202" t="n">
        <v>38100</v>
      </c>
      <c r="C202" t="n">
        <v>38150</v>
      </c>
      <c r="D202" t="n">
        <v>48</v>
      </c>
      <c r="E202" t="inlineStr">
        <is>
          <t>كاش 100%</t>
        </is>
      </c>
      <c r="F202" s="42" t="n">
        <v>46284</v>
      </c>
      <c r="G202" t="n">
        <v>823722</v>
      </c>
      <c r="H202" t="n">
        <v>824803</v>
      </c>
    </row>
    <row r="203">
      <c r="A203" t="inlineStr">
        <is>
          <t>ويكادي</t>
        </is>
      </c>
      <c r="B203" t="n">
        <v>38100</v>
      </c>
      <c r="C203" t="n">
        <v>38150</v>
      </c>
      <c r="D203" t="n">
        <v>48</v>
      </c>
      <c r="E203" t="inlineStr">
        <is>
          <t>كاش 100%</t>
        </is>
      </c>
      <c r="F203" s="42" t="n">
        <v>46284</v>
      </c>
      <c r="G203" t="n">
        <v>150495</v>
      </c>
      <c r="H203" t="n">
        <v>150692.5</v>
      </c>
    </row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Sheet2">
    <outlinePr summaryBelow="1" summaryRight="1"/>
    <pageSetUpPr/>
  </sheetPr>
  <dimension ref="A1:K15"/>
  <sheetViews>
    <sheetView rightToLeft="1" workbookViewId="0">
      <selection activeCell="B9" sqref="A9:B9"/>
    </sheetView>
  </sheetViews>
  <sheetFormatPr baseColWidth="8" defaultRowHeight="14.4"/>
  <cols>
    <col width="14.5546875" bestFit="1" customWidth="1" style="37" min="1" max="1"/>
    <col width="16.44140625" bestFit="1" customWidth="1" style="37" min="2" max="2"/>
    <col width="12.77734375" customWidth="1" style="37" min="3" max="3"/>
    <col width="12.44140625" bestFit="1" customWidth="1" style="37" min="9" max="9"/>
    <col width="16.44140625" bestFit="1" customWidth="1" style="37" min="11" max="11"/>
  </cols>
  <sheetData>
    <row r="1">
      <c r="A1" s="36" t="inlineStr">
        <is>
          <t>ارصدة العملاء</t>
        </is>
      </c>
      <c r="I1" s="36" t="inlineStr">
        <is>
          <t>ارصدة الموردين</t>
        </is>
      </c>
    </row>
    <row r="2">
      <c r="A2" s="2" t="inlineStr">
        <is>
          <t>الرصيد</t>
        </is>
      </c>
      <c r="B2" s="38">
        <f>SUM(B4:B3000)-SUM(C4:C3000)</f>
        <v/>
      </c>
      <c r="C2" s="39" t="n"/>
      <c r="I2" s="3" t="inlineStr">
        <is>
          <t>الرصيد</t>
        </is>
      </c>
      <c r="J2" s="38">
        <f>SUM(J4:J3000)-SUM(K4:K3000)</f>
        <v/>
      </c>
      <c r="K2" s="39" t="n"/>
    </row>
    <row r="3" ht="18" customHeight="1" s="37">
      <c r="A3" s="4" t="inlineStr">
        <is>
          <t>اسم العميل</t>
        </is>
      </c>
      <c r="B3" s="5" t="inlineStr">
        <is>
          <t>مدين</t>
        </is>
      </c>
      <c r="C3" s="5" t="inlineStr">
        <is>
          <t>دائن</t>
        </is>
      </c>
      <c r="I3" s="4" t="inlineStr">
        <is>
          <t>اسم المورد</t>
        </is>
      </c>
      <c r="J3" s="5" t="inlineStr">
        <is>
          <t>مدين</t>
        </is>
      </c>
      <c r="K3" s="5" t="inlineStr">
        <is>
          <t>دائن</t>
        </is>
      </c>
    </row>
    <row r="4" ht="18" customHeight="1" s="37">
      <c r="A4" s="6" t="inlineStr">
        <is>
          <t>خالد صبري</t>
        </is>
      </c>
      <c r="B4" s="7" t="n">
        <v>12993887.40350877</v>
      </c>
      <c r="C4" s="7" t="n">
        <v>0</v>
      </c>
      <c r="I4" s="6" t="inlineStr">
        <is>
          <t>ترانس سبلاي</t>
        </is>
      </c>
      <c r="J4" s="7" t="n">
        <v>0</v>
      </c>
      <c r="K4" s="7" t="n">
        <v>88986791.5</v>
      </c>
    </row>
    <row r="5" ht="18" customHeight="1" s="37">
      <c r="A5" s="6" t="inlineStr">
        <is>
          <t>سامكريت مصر</t>
        </is>
      </c>
      <c r="B5" s="7" t="n">
        <v>7031957.14280702</v>
      </c>
      <c r="C5" s="7" t="n">
        <v>0</v>
      </c>
    </row>
    <row r="6" ht="18" customHeight="1" s="37">
      <c r="A6" s="6" t="inlineStr">
        <is>
          <t>فالتور</t>
        </is>
      </c>
      <c r="B6" s="7" t="n">
        <v>39527797.25000001</v>
      </c>
      <c r="C6" s="7" t="n">
        <v>0</v>
      </c>
    </row>
    <row r="7" ht="18" customHeight="1" s="37">
      <c r="A7" s="6" t="inlineStr">
        <is>
          <t>ويكادي</t>
        </is>
      </c>
      <c r="B7" s="7" t="n">
        <v>7533524</v>
      </c>
      <c r="C7" s="7" t="n">
        <v>0</v>
      </c>
    </row>
    <row r="8" ht="18" customHeight="1" s="37">
      <c r="A8" s="6" t="inlineStr">
        <is>
          <t>بينتاكون</t>
        </is>
      </c>
      <c r="B8" s="7" t="n">
        <v>2017305</v>
      </c>
      <c r="C8" s="7" t="n">
        <v>0</v>
      </c>
    </row>
    <row r="9" ht="18" customHeight="1" s="37">
      <c r="A9" s="6" t="inlineStr">
        <is>
          <t>جي دبيو</t>
        </is>
      </c>
      <c r="B9" s="7" t="n">
        <v>0</v>
      </c>
      <c r="C9" s="7" t="n">
        <v>35015.06140350853</v>
      </c>
    </row>
    <row r="10" ht="18" customHeight="1" s="37">
      <c r="A10" s="6" t="inlineStr">
        <is>
          <t>بيراميدز</t>
        </is>
      </c>
      <c r="B10" s="7" t="n">
        <v>0</v>
      </c>
      <c r="C10" s="7" t="n">
        <v>4</v>
      </c>
    </row>
    <row r="11" ht="18" customHeight="1" s="37">
      <c r="A11" s="6" t="inlineStr">
        <is>
          <t>الشركة المتحده</t>
        </is>
      </c>
      <c r="B11" s="7" t="n">
        <v>17745354</v>
      </c>
      <c r="C11" s="7" t="n">
        <v>0</v>
      </c>
    </row>
    <row r="12">
      <c r="B12" s="8" t="n"/>
      <c r="C12" s="8" t="n"/>
    </row>
    <row r="13">
      <c r="B13" s="8" t="n"/>
      <c r="C13" s="8" t="n"/>
    </row>
    <row r="14">
      <c r="B14" s="8" t="n"/>
      <c r="C14" s="8" t="n"/>
    </row>
    <row r="15">
      <c r="B15" s="8" t="n"/>
      <c r="C15" s="8" t="n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Sheet3">
    <outlinePr summaryBelow="1" summaryRight="1"/>
    <pageSetUpPr/>
  </sheetPr>
  <dimension ref="A1:L15"/>
  <sheetViews>
    <sheetView rightToLeft="1" workbookViewId="0">
      <selection activeCell="F7" sqref="F7"/>
    </sheetView>
  </sheetViews>
  <sheetFormatPr baseColWidth="8" defaultRowHeight="14.4"/>
  <cols>
    <col width="10.6640625" customWidth="1" style="37" min="1" max="1"/>
    <col width="9.88671875" customWidth="1" style="37" min="3" max="3"/>
    <col width="12" customWidth="1" style="37" min="5" max="5"/>
    <col width="15.77734375" customWidth="1" style="37" min="6" max="6"/>
    <col width="12.88671875" customWidth="1" style="37" min="7" max="7"/>
    <col width="19" customWidth="1" style="37" min="9" max="9"/>
    <col width="20.88671875" customWidth="1" style="37" min="10" max="10"/>
  </cols>
  <sheetData>
    <row r="1" ht="18" customHeight="1" s="37" thickBot="1">
      <c r="A1" s="9" t="inlineStr">
        <is>
          <t>الاسم</t>
        </is>
      </c>
      <c r="B1" s="10" t="inlineStr">
        <is>
          <t>الاساسي</t>
        </is>
      </c>
      <c r="C1" s="10" t="inlineStr">
        <is>
          <t>بدل انتقال</t>
        </is>
      </c>
      <c r="D1" s="10" t="inlineStr">
        <is>
          <t>بدل بنزين</t>
        </is>
      </c>
      <c r="E1" s="10" t="inlineStr">
        <is>
          <t>مستحق اخر</t>
        </is>
      </c>
      <c r="F1" s="10" t="inlineStr">
        <is>
          <t>اجمالي استحقاق</t>
        </is>
      </c>
      <c r="G1" s="11" t="inlineStr">
        <is>
          <t>الاستقطاعات</t>
        </is>
      </c>
      <c r="H1" s="11" t="inlineStr">
        <is>
          <t>السلف</t>
        </is>
      </c>
      <c r="I1" s="11" t="inlineStr">
        <is>
          <t>اجمالي استقطاع</t>
        </is>
      </c>
      <c r="J1" s="12" t="inlineStr">
        <is>
          <t>صافي المرتب</t>
        </is>
      </c>
      <c r="K1" s="10" t="inlineStr">
        <is>
          <t>الشهر</t>
        </is>
      </c>
      <c r="L1" s="10" t="inlineStr">
        <is>
          <t>السنه</t>
        </is>
      </c>
    </row>
    <row r="2" ht="15" customHeight="1" s="37" thickBot="1">
      <c r="A2" s="13" t="inlineStr">
        <is>
          <t>مني محمد</t>
        </is>
      </c>
      <c r="B2" s="14" t="n">
        <v>8000</v>
      </c>
      <c r="C2" s="14" t="n"/>
      <c r="D2" s="14" t="n"/>
      <c r="E2" s="14" t="n"/>
      <c r="F2" s="14">
        <f>B2+C2+D2+E2</f>
        <v/>
      </c>
      <c r="G2" s="14" t="n"/>
      <c r="H2" s="14" t="n"/>
      <c r="I2" s="14">
        <f>G2-H2</f>
        <v/>
      </c>
      <c r="J2" s="14">
        <f>F2-I2</f>
        <v/>
      </c>
      <c r="K2" s="15" t="inlineStr">
        <is>
          <t>سبتمبر</t>
        </is>
      </c>
      <c r="L2" s="15" t="n">
        <v>2026</v>
      </c>
    </row>
    <row r="3" ht="15" customHeight="1" s="37" thickBot="1">
      <c r="A3" s="13" t="inlineStr">
        <is>
          <t>أحمد مفرح</t>
        </is>
      </c>
      <c r="B3" s="14" t="n"/>
      <c r="C3" s="14" t="n"/>
      <c r="D3" s="14" t="n"/>
      <c r="E3" s="14" t="n"/>
      <c r="F3" s="14">
        <f>B3+C3+D3+E3</f>
        <v/>
      </c>
      <c r="G3" s="14" t="n"/>
      <c r="H3" s="14" t="n"/>
      <c r="I3" s="14">
        <f>G3-H3</f>
        <v/>
      </c>
      <c r="J3" s="14">
        <f>F3-I3</f>
        <v/>
      </c>
      <c r="K3" s="15" t="inlineStr">
        <is>
          <t>سبتمبر</t>
        </is>
      </c>
      <c r="L3" s="15" t="n">
        <v>2026</v>
      </c>
    </row>
    <row r="4" ht="15" customHeight="1" s="37" thickBot="1">
      <c r="A4" s="13" t="inlineStr">
        <is>
          <t>محمود كارم</t>
        </is>
      </c>
      <c r="B4" s="14" t="n"/>
      <c r="C4" s="14" t="n"/>
      <c r="D4" s="14" t="n"/>
      <c r="E4" s="14" t="n"/>
      <c r="F4" s="14">
        <f>B4+C4+D4+E4</f>
        <v/>
      </c>
      <c r="G4" s="14" t="n"/>
      <c r="H4" s="14" t="n"/>
      <c r="I4" s="14">
        <f>G4-H4</f>
        <v/>
      </c>
      <c r="J4" s="14">
        <f>F4-I4</f>
        <v/>
      </c>
      <c r="K4" s="15" t="inlineStr">
        <is>
          <t>سبتمبر</t>
        </is>
      </c>
      <c r="L4" s="15" t="n">
        <v>2026</v>
      </c>
    </row>
    <row r="5" ht="15" customHeight="1" s="37" thickBot="1">
      <c r="A5" s="13" t="inlineStr">
        <is>
          <t>شهد خالد</t>
        </is>
      </c>
      <c r="B5" s="14" t="n"/>
      <c r="C5" s="14" t="n"/>
      <c r="D5" s="14" t="n"/>
      <c r="E5" s="14" t="n"/>
      <c r="F5" s="14">
        <f>B5+C5+D5+E5</f>
        <v/>
      </c>
      <c r="G5" s="14" t="n"/>
      <c r="H5" s="14" t="n"/>
      <c r="I5" s="14">
        <f>G5-H5</f>
        <v/>
      </c>
      <c r="J5" s="14">
        <f>F5-I5</f>
        <v/>
      </c>
      <c r="K5" s="15" t="inlineStr">
        <is>
          <t>سبتمبر</t>
        </is>
      </c>
      <c r="L5" s="15" t="n">
        <v>2026</v>
      </c>
    </row>
    <row r="6" ht="15" customHeight="1" s="37" thickBot="1">
      <c r="A6" s="13" t="inlineStr">
        <is>
          <t>محمود رجب</t>
        </is>
      </c>
      <c r="B6" s="14" t="n"/>
      <c r="C6" s="14" t="n"/>
      <c r="D6" s="14" t="n"/>
      <c r="E6" s="14" t="n"/>
      <c r="F6" s="14">
        <f>B6+C6+D6+E6</f>
        <v/>
      </c>
      <c r="G6" s="14" t="n"/>
      <c r="H6" s="14" t="n"/>
      <c r="I6" s="14">
        <f>G6-H6</f>
        <v/>
      </c>
      <c r="J6" s="14">
        <f>F6-I6</f>
        <v/>
      </c>
      <c r="K6" s="15" t="inlineStr">
        <is>
          <t>سبتمبر</t>
        </is>
      </c>
      <c r="L6" s="15" t="n">
        <v>2026</v>
      </c>
    </row>
    <row r="7" ht="15" customHeight="1" s="37" thickBot="1">
      <c r="A7" s="13" t="inlineStr">
        <is>
          <t>صبري يحي</t>
        </is>
      </c>
      <c r="B7" s="14" t="n"/>
      <c r="C7" s="14" t="n"/>
      <c r="D7" s="14" t="n"/>
      <c r="E7" s="14" t="n"/>
      <c r="F7" s="14">
        <f>B7+C7+D7+E7</f>
        <v/>
      </c>
      <c r="G7" s="14" t="n"/>
      <c r="H7" s="14" t="n"/>
      <c r="I7" s="14">
        <f>G7-H7</f>
        <v/>
      </c>
      <c r="J7" s="14">
        <f>F7-I7</f>
        <v/>
      </c>
      <c r="K7" s="15" t="inlineStr">
        <is>
          <t>سبتمبر</t>
        </is>
      </c>
      <c r="L7" s="15" t="n">
        <v>2026</v>
      </c>
    </row>
    <row r="8" ht="15" customHeight="1" s="37" thickBot="1">
      <c r="A8" s="13" t="inlineStr">
        <is>
          <t>سيد كارم</t>
        </is>
      </c>
      <c r="B8" s="14" t="n"/>
      <c r="C8" s="14" t="n"/>
      <c r="D8" s="14" t="n"/>
      <c r="E8" s="14" t="n"/>
      <c r="F8" s="14">
        <f>B8+C8+D8+E8</f>
        <v/>
      </c>
      <c r="G8" s="14" t="n"/>
      <c r="H8" s="14" t="n"/>
      <c r="I8" s="14">
        <f>G8-H8</f>
        <v/>
      </c>
      <c r="J8" s="14">
        <f>F8-I8</f>
        <v/>
      </c>
      <c r="K8" s="15" t="inlineStr">
        <is>
          <t>سبتمبر</t>
        </is>
      </c>
      <c r="L8" s="15" t="n">
        <v>2026</v>
      </c>
    </row>
    <row r="9" ht="15" customHeight="1" s="37" thickBot="1">
      <c r="A9" s="13" t="inlineStr">
        <is>
          <t>CHILL</t>
        </is>
      </c>
      <c r="B9" s="14" t="n">
        <v>2000</v>
      </c>
      <c r="C9" s="14" t="n"/>
      <c r="D9" s="14" t="n"/>
      <c r="E9" s="14" t="n"/>
      <c r="F9" s="14">
        <f>B9+C9+D9+E9</f>
        <v/>
      </c>
      <c r="G9" s="14" t="n"/>
      <c r="H9" s="14" t="n"/>
      <c r="I9" s="14">
        <f>G9-H9</f>
        <v/>
      </c>
      <c r="J9" s="14">
        <f>F9-I9</f>
        <v/>
      </c>
      <c r="K9" s="15" t="inlineStr">
        <is>
          <t>أكتوبر</t>
        </is>
      </c>
      <c r="L9" s="15" t="n">
        <v>2027</v>
      </c>
    </row>
    <row r="10" ht="15" customHeight="1" s="37" thickBot="1">
      <c r="A10" s="16" t="n"/>
      <c r="B10" s="14" t="n"/>
      <c r="C10" s="14" t="n"/>
      <c r="D10" s="14" t="n"/>
      <c r="E10" s="14" t="n"/>
      <c r="F10" s="14">
        <f>B10+C10+D10+E10</f>
        <v/>
      </c>
      <c r="G10" s="14" t="n"/>
      <c r="H10" s="14" t="n"/>
      <c r="I10" s="14">
        <f>G10-H10</f>
        <v/>
      </c>
      <c r="J10" s="14">
        <f>F10-I10</f>
        <v/>
      </c>
      <c r="K10" s="14" t="n"/>
      <c r="L10" s="15" t="n">
        <v>2026</v>
      </c>
    </row>
    <row r="11" ht="15" customHeight="1" s="37" thickBot="1">
      <c r="A11" s="16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>
        <f>F11-I11</f>
        <v/>
      </c>
      <c r="K11" s="14" t="n"/>
      <c r="L11" s="15" t="n">
        <v>2026</v>
      </c>
    </row>
    <row r="12" ht="15" customHeight="1" s="37" thickBot="1">
      <c r="A12" s="16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>
        <f>F12-I12</f>
        <v/>
      </c>
      <c r="K12" s="14" t="n"/>
      <c r="L12" s="15" t="n">
        <v>2026</v>
      </c>
    </row>
    <row r="13" ht="15" customHeight="1" s="37" thickBot="1">
      <c r="A13" s="16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5" t="n">
        <v>2026</v>
      </c>
    </row>
    <row r="14" ht="15" customHeight="1" s="37" thickBot="1">
      <c r="A14" s="16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5" t="n">
        <v>2026</v>
      </c>
    </row>
    <row r="15" ht="15" customHeight="1" s="37" thickBot="1">
      <c r="A15" s="16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5" t="n">
        <v>2026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 codeName="Sheet4">
    <outlinePr summaryBelow="1" summaryRight="1"/>
    <pageSetUpPr/>
  </sheetPr>
  <dimension ref="A1:D20"/>
  <sheetViews>
    <sheetView rightToLeft="1" tabSelected="1" workbookViewId="0">
      <selection activeCell="A1" sqref="A1:D20"/>
    </sheetView>
  </sheetViews>
  <sheetFormatPr baseColWidth="8" defaultRowHeight="14.4"/>
  <cols>
    <col width="9.6640625" bestFit="1" customWidth="1" style="37" min="1" max="1"/>
    <col width="16.109375" customWidth="1" style="37" min="2" max="2"/>
    <col width="19.88671875" customWidth="1" style="37" min="3" max="3"/>
    <col width="19.77734375" customWidth="1" style="37" min="4" max="4"/>
  </cols>
  <sheetData>
    <row r="1" ht="21" customHeight="1" s="37">
      <c r="A1" s="35" t="inlineStr">
        <is>
          <t>📊 إجمالي التأخيرات المستحقة لكل عميل</t>
        </is>
      </c>
    </row>
    <row r="2">
      <c r="A2" s="21" t="inlineStr">
        <is>
          <t>الإجمالي العام</t>
        </is>
      </c>
      <c r="B2" s="22" t="n">
        <v>5</v>
      </c>
      <c r="C2" s="23" t="n">
        <v>6860348.5</v>
      </c>
      <c r="D2" s="24" t="n">
        <v>8.199999999999999</v>
      </c>
    </row>
    <row r="3">
      <c r="A3" s="25" t="inlineStr">
        <is>
          <t>العميل</t>
        </is>
      </c>
      <c r="B3" s="25" t="inlineStr">
        <is>
          <t>عدد المستحقات</t>
        </is>
      </c>
      <c r="C3" s="25" t="inlineStr">
        <is>
          <t>إجمالي المبلغ المستحق</t>
        </is>
      </c>
      <c r="D3" s="25" t="inlineStr">
        <is>
          <t>متوسط التأخير (يوم)</t>
        </is>
      </c>
    </row>
    <row r="4">
      <c r="A4" s="26" t="inlineStr">
        <is>
          <t>فالتور</t>
        </is>
      </c>
      <c r="B4" s="27" t="n">
        <v>2</v>
      </c>
      <c r="C4" s="28" t="n">
        <v>2760042.5</v>
      </c>
      <c r="D4" s="29" t="n">
        <v>16.5</v>
      </c>
    </row>
    <row r="5">
      <c r="A5" s="30" t="inlineStr">
        <is>
          <t>ويكادي</t>
        </is>
      </c>
      <c r="B5" s="27" t="n">
        <v>3</v>
      </c>
      <c r="C5" s="28" t="n">
        <v>4100306</v>
      </c>
      <c r="D5" s="29" t="n">
        <v>2.666666666666667</v>
      </c>
    </row>
    <row r="6">
      <c r="A6" s="31" t="n"/>
      <c r="B6" s="27" t="inlineStr"/>
      <c r="C6" s="28" t="inlineStr"/>
      <c r="D6" s="29" t="inlineStr"/>
    </row>
    <row r="7">
      <c r="A7" s="31" t="n"/>
      <c r="B7" s="27" t="inlineStr"/>
      <c r="C7" s="28" t="inlineStr"/>
      <c r="D7" s="29" t="inlineStr"/>
    </row>
    <row r="8">
      <c r="A8" s="31" t="n"/>
      <c r="B8" s="27" t="inlineStr"/>
      <c r="C8" s="28" t="inlineStr"/>
      <c r="D8" s="29" t="inlineStr"/>
    </row>
    <row r="9">
      <c r="A9" s="31" t="n"/>
      <c r="B9" s="27" t="inlineStr"/>
      <c r="C9" s="28" t="inlineStr"/>
      <c r="D9" s="29" t="inlineStr"/>
    </row>
    <row r="10">
      <c r="A10" s="31" t="n"/>
      <c r="B10" s="27" t="inlineStr"/>
      <c r="C10" s="28" t="inlineStr"/>
      <c r="D10" s="29" t="inlineStr"/>
    </row>
    <row r="11">
      <c r="A11" s="31" t="n"/>
      <c r="B11" s="27" t="inlineStr"/>
      <c r="C11" s="28" t="inlineStr"/>
      <c r="D11" s="29" t="inlineStr"/>
    </row>
    <row r="12">
      <c r="A12" s="31" t="n"/>
      <c r="B12" s="27" t="inlineStr"/>
      <c r="C12" s="28" t="inlineStr"/>
      <c r="D12" s="29" t="inlineStr"/>
    </row>
    <row r="13">
      <c r="A13" s="31" t="n"/>
      <c r="B13" s="27" t="inlineStr"/>
      <c r="C13" s="28" t="inlineStr"/>
      <c r="D13" s="29" t="inlineStr"/>
    </row>
    <row r="14">
      <c r="A14" s="31" t="n"/>
      <c r="B14" s="27" t="inlineStr"/>
      <c r="C14" s="28" t="inlineStr"/>
      <c r="D14" s="29" t="inlineStr"/>
    </row>
    <row r="15">
      <c r="A15" s="31" t="n"/>
      <c r="B15" s="27" t="inlineStr"/>
      <c r="C15" s="28" t="inlineStr"/>
      <c r="D15" s="29" t="inlineStr"/>
    </row>
    <row r="16">
      <c r="A16" s="31" t="n"/>
      <c r="B16" s="27" t="inlineStr"/>
      <c r="C16" s="28" t="inlineStr"/>
      <c r="D16" s="29" t="inlineStr"/>
    </row>
    <row r="17">
      <c r="A17" s="31" t="n"/>
      <c r="B17" s="27" t="inlineStr"/>
      <c r="C17" s="28" t="inlineStr"/>
      <c r="D17" s="29" t="inlineStr"/>
    </row>
    <row r="18">
      <c r="A18" s="31" t="n"/>
      <c r="B18" s="27" t="inlineStr"/>
      <c r="C18" s="28" t="inlineStr"/>
      <c r="D18" s="29" t="inlineStr"/>
    </row>
    <row r="19">
      <c r="A19" s="31" t="n"/>
      <c r="B19" s="27" t="inlineStr"/>
      <c r="C19" s="28" t="inlineStr"/>
      <c r="D19" s="29" t="inlineStr"/>
    </row>
    <row r="20">
      <c r="A20" s="31" t="n"/>
      <c r="B20" s="27" t="inlineStr"/>
      <c r="C20" s="28" t="inlineStr"/>
      <c r="D20" s="29" t="inlineStr"/>
    </row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e1wRVcklD9X3RXwfVlJvnw==" formatRows="1" sort="1" spinCount="100000" hashValue="z7Yn5snhiW2v238EcU3BiZ95/YGJobeUnB2P+UIbK4n3zzxzM7M/qpgy9TGySJS9Og80ZJefmePMSxOchKEuZg=="/>
  <mergeCells count="1">
    <mergeCell ref="A1:D1"/>
  </mergeCells>
  <conditionalFormatting sqref="A4:D20">
    <cfRule type="expression" priority="1" dxfId="0">
      <formula>AND($A4&lt;&gt;"",MOD(ROW(),2)=0)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PC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2026-09-20T17:44:16Z</dcterms:modified>
  <cp:lastModifiedBy>ahme hamdy</cp:lastModifiedBy>
</cp:coreProperties>
</file>