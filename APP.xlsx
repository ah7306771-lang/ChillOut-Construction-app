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E3C6CDF4-448D-4129-8EA2-E2F286CCCED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العملاء والموردين" sheetId="2" r:id="rId2"/>
    <sheet name="الرواتب" sheetId="3" r:id="rId3"/>
    <sheet name="اجمالي متأخرات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<sst xmlns="http://schemas.openxmlformats.org/spreadsheetml/2006/main" count="165" uniqueCount="71">
  <si>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</si>
  <si>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</si>
  <si>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</si>
  <si>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</si>
  <si>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</si>
  <si>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</si>
  <si>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</si>
  <si>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</si>
  <si>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</si>
  <si>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</si>
  <si>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</si>
  <si>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</si>
  <si>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</si>
  <si>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</si>
  <si>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</si>
  <si>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</si>
  <si>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</si>
  <si>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</si>
  <si>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</si>
  <si>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</si>
  <si>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</si>
  <si>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</si>
  <si>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</si>
  <si>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</si>
  <si>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</si>
  <si>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</si>
  <si>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</si>
  <si>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</si>
  <si>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</si>
  <si>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</si>
  <si>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</si>
  <si>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</si>
  <si>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</si>
  <si>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</si>
  <si>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</si>
  <si>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</si>
  <si>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</si>
  <si>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</si>
  <si>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</si>
  <si>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</si>
  <si>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</si>
  <si>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</si>
  <si>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</si>
  <si>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</si>
  <si>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</si>
  <si>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</si>
  <si>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</si>
  <si>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</si>
  <si>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</si>
  <si>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</si>
  <si>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</si>
  <si>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</si>
  <si>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</si>
  <si>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</si>
  <si>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</si>
  <si>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</si>
  <si>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</si>
  <si>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</si>
  <si>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25 يوم</t>
  </si>
  <si>
    <t>⚠ شيك متأخر 19 يوم</t>
  </si>
  <si>
    <t>⚠ شيك متأخر 5 يوم</t>
  </si>
  <si>
    <t>⚠ باقي 6 يوم</t>
  </si>
  <si>
    <t>⚠ باقي 12 يوم</t>
  </si>
  <si>
    <t>⚠ باقي 15 يوم</t>
  </si>
  <si>
    <t>⚠ باقي 22 يوم</t>
  </si>
  <si>
    <t>⚠ باقي 36 يوم</t>
  </si>
  <si>
    <t>⚠ باقي 42 يوم</t>
  </si>
  <si>
    <t>⚠ باقي 26 يوم</t>
  </si>
  <si>
    <t>⚠ باقي 33 يوم</t>
  </si>
  <si>
    <t>⚠ باقي 3 يوم</t>
  </si>
  <si>
    <t>⚠ باقي 38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</si>
</sst>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tabSelected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5">
        <v>46254</v>
      </c>
      <c r="E3" s="19" t="s">
        <v>9</v>
      </c>
      <c r="F3" s="19" t="s">
        <v>10</v>
      </c>
      <c r="G3" s="19" t="s">
        <v>58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5">
        <v>46260</v>
      </c>
      <c r="E4" s="19" t="s">
        <v>9</v>
      </c>
      <c r="F4" s="19" t="s">
        <v>10</v>
      </c>
      <c r="G4" s="19" t="s">
        <v>59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5">
        <v>46274</v>
      </c>
      <c r="E5" s="19" t="s">
        <v>14</v>
      </c>
      <c r="F5" s="19" t="s">
        <v>10</v>
      </c>
      <c r="G5" s="19" t="s">
        <v>60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5">
        <v>46285</v>
      </c>
      <c r="E6" s="19" t="s">
        <v>9</v>
      </c>
      <c r="F6" s="19" t="s">
        <v>10</v>
      </c>
      <c r="G6" s="19" t="s">
        <v>61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5">
        <v>46291</v>
      </c>
      <c r="E7" s="19" t="s">
        <v>9</v>
      </c>
      <c r="F7" s="19" t="s">
        <v>10</v>
      </c>
      <c r="G7" s="19" t="s">
        <v>62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5">
        <v>46294</v>
      </c>
      <c r="E8" s="19" t="s">
        <v>14</v>
      </c>
      <c r="F8" s="19" t="s">
        <v>10</v>
      </c>
      <c r="G8" s="19" t="s">
        <v>63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5">
        <v>46301</v>
      </c>
      <c r="E9" s="19" t="s">
        <v>9</v>
      </c>
      <c r="F9" s="19" t="s">
        <v>10</v>
      </c>
      <c r="G9" s="19" t="s">
        <v>64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5">
        <v>46315</v>
      </c>
      <c r="E10" s="19" t="s">
        <v>9</v>
      </c>
      <c r="F10" s="19" t="s">
        <v>10</v>
      </c>
      <c r="G10" s="19" t="s">
        <v>65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5">
        <v>46321</v>
      </c>
      <c r="E11" s="19" t="s">
        <v>9</v>
      </c>
      <c r="F11" s="19" t="s">
        <v>10</v>
      </c>
      <c r="G11" s="19" t="s">
        <v>66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5">
        <v>46305</v>
      </c>
      <c r="E12" s="19"/>
      <c r="F12" s="19" t="s">
        <v>10</v>
      </c>
      <c r="G12" s="19" t="s">
        <v>67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5">
        <v>46312</v>
      </c>
      <c r="E13" s="19" t="s">
        <v>16</v>
      </c>
      <c r="F13" s="19" t="s">
        <v>10</v>
      </c>
      <c r="G13" s="19" t="s">
        <v>68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5">
        <v>46282</v>
      </c>
      <c r="E14" s="19" t="s">
        <v>14</v>
      </c>
      <c r="F14" s="19" t="s">
        <v>10</v>
      </c>
      <c r="G14" s="19" t="s">
        <v>69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5">
        <v>46317</v>
      </c>
      <c r="E15" s="19"/>
      <c r="F15" s="19" t="s">
        <v>10</v>
      </c>
      <c r="G15" s="19" t="s">
        <v>70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5">
        <v>46321</v>
      </c>
      <c r="E16" s="19"/>
      <c r="F16" s="19" t="s">
        <v>10</v>
      </c>
      <c r="G16" s="19" t="s">
        <v>66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U1" sqref="U1:U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32" t="s">
        <v>19</v>
      </c>
      <c r="B1" s="32"/>
      <c r="C1" s="32"/>
      <c r="I1" s="32" t="s">
        <v>20</v>
      </c>
      <c r="J1" s="32"/>
      <c r="K1" s="32"/>
    </row>
    <row r="2" spans="1:11" x14ac:dyDescent="0.3">
      <c r="A2" s="2" t="s">
        <v>21</v>
      </c>
      <c r="B2" s="33">
        <f>SUM(B4:B3000)-SUM(C4:C3000)</f>
        <v>75177266.734912291</v>
      </c>
      <c r="C2" s="33"/>
      <c r="I2" s="3" t="s">
        <v>21</v>
      </c>
      <c r="J2" s="33">
        <f>SUM(J4:J3000)-SUM(K4:K3000)</f>
        <v>-76899579.5</v>
      </c>
      <c r="K2" s="33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5830041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4" t="s">
        <v>52</v>
      </c>
      <c r="B1" s="34"/>
      <c r="C1" s="34"/>
      <c r="D1" s="34"/>
    </row>
    <row r="2" spans="1:4" x14ac:dyDescent="0.3">
      <c r="A2" s="21" t="s">
        <v>53</v>
      </c>
      <c r="B2" s="22">
        <v>3</v>
      </c>
      <c r="C2" s="23">
        <v>4273191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3</v>
      </c>
      <c r="C4" s="28">
        <v>4273191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v0mwtfoytFjFBPRUJ09bGZyGAnIBdjtoWq1KJBNFVCxZSbFVYrIMu9rqvgFJ5PumtmCaTiXS6eg3C0OUFmWgEw==" saltValue="Tr2zhO+3sZWetSlHHH0oBw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الشيكات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2026-09-14T07:45:03Z</dcterms:modified>
</cp:coreProperties>
</file>