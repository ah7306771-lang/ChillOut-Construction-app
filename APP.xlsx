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95A4D5FB-FAB0-4261-9071-B6A3675F3D00}" xr6:coauthVersionLast="47" xr6:coauthVersionMax="47" xr10:uidLastSave="{00000000-0000-0000-0000-000000000000}"/>
  <bookViews>
    <workbookView xWindow="-108" yWindow="-108" windowWidth="23256" windowHeight="12576" firstSheet="4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<sst xmlns="http://schemas.openxmlformats.org/spreadsheetml/2006/main" count="743" uniqueCount="150">
  <si>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</si>
  <si>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</si>
  <si>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</si>
  <si>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</si>
  <si>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</si>
  <si>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</si>
  <si>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</si>
  <si>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</si>
  <si>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</si>
  <si>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</si>
  <si>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</si>
  <si>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</si>
  <si>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</si>
  <si>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</si>
  <si>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</si>
  <si>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</si>
  <si>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</si>
  <si>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</si>
  <si>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</si>
  <si>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</si>
  <si>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</si>
  <si>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</si>
  <si>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</si>
  <si>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</si>
  <si>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</si>
  <si>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</si>
  <si>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</si>
  <si>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</si>
  <si>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</si>
  <si>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</si>
  <si>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</si>
  <si>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</si>
  <si>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</si>
  <si>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</si>
  <si>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</si>
  <si>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</si>
  <si>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</si>
  <si>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</si>
  <si>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</si>
  <si>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</si>
  <si>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</si>
  <si>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</si>
  <si>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</si>
  <si>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</si>
  <si>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</si>
  <si>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</si>
  <si>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</si>
  <si>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</si>
  <si>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</si>
  <si>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</si>
  <si>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</si>
  <si>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</si>
  <si>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</si>
  <si>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</si>
  <si>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</si>
  <si>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</si>
  <si>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</si>
  <si>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</si>
  <si>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</si>
  <si>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</si>
  <si>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</si>
  <si>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</si>
  <si>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</si>
  <si>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</si>
  <si>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</si>
  <si>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</si>
  <si>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</si>
  <si>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</si>
  <si>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</si>
  <si>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</si>
  <si>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</si>
  <si>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</si>
  <si>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</si>
  <si>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</si>
  <si>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</si>
  <si>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</si>
  <si>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</si>
  <si>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</si>
  <si>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</si>
  <si>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</si>
  <si>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</si>
  <si>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</si>
  <si>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</si>
  <si>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</si>
  <si>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</si>
  <si>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</si>
  <si>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</si>
  <si>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</si>
  <si>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</si>
  <si>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</si>
  <si>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</si>
  <si>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</si>
  <si>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</si>
  <si>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</si>
  <si>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</si>
  <si>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</si>
  <si>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</si>
  <si>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</si>
  <si>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</si>
  <si>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</si>
  <si>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</si>
  <si>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</si>
  <si>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</si>
  <si>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</si>
  <si>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</si>
  <si>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</si>
  <si>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</si>
  <si>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</si>
  <si>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</si>
  <si>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</si>
  <si>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</si>
  <si>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</si>
  <si>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</si>
  <si>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</si>
  <si>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</si>
  <si>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</si>
  <si>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</si>
  <si>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</si>
  <si>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</si>
  <si>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</si>
  <si>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</si>
  <si>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</si>
  <si>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</si>
  <si>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</si>
  <si>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</si>
  <si>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</si>
  <si>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</si>
  <si>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</si>
  <si>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</si>
  <si>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</si>
  <si>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</si>
  <si>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</si>
  <si>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</si>
  <si>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</si>
  <si>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</si>
  <si>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</si>
  <si>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</si>
  <si>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</si>
  <si>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</si>
  <si>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</si>
  <si>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</si>
  <si>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</si>
  <si>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</si>
  <si>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</si>
  <si>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15 يوم</t>
  </si>
  <si>
    <t>11 يوم</t>
  </si>
  <si>
    <t>يومان</t>
  </si>
  <si>
    <t>🔔 متبقي 5 أيام</t>
  </si>
  <si>
    <t>⚠ متأخر
42,070,351</t>
  </si>
  <si>
    <t>✅ مسدّد
192,256,564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</si>
</sst>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0" borderId="19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</cellXfs>
  <cellStyles count="1">
    <cellStyle name="Normal" xfId="0" builtinId="0"/>
  </cellStyles>
  <dxfs count="348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3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3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3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3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3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3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3">
        <v>46348</v>
      </c>
      <c r="E9" s="19"/>
      <c r="F9" s="19" t="s">
        <v>10</v>
      </c>
      <c r="G9" s="19" t="s">
        <v>138</v>
      </c>
      <c r="H9" s="19" t="s">
        <v>107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3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3">
        <v>46351</v>
      </c>
      <c r="E11" s="19" t="s">
        <v>97</v>
      </c>
      <c r="F11" s="19" t="s">
        <v>10</v>
      </c>
      <c r="G11" s="19" t="s">
        <v>127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3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83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3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3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3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3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3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3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3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3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3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3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3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3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3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3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3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3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3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3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3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3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3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4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4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4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4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4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4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4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4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4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4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4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3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3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3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3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3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3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3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3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3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3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3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3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3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3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3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3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3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3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3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3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3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3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3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3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3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3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3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3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3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3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3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3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3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3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3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3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3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3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3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3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3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3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3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3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3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3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3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3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3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3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3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3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3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3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3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3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3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3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3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3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3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3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3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3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3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3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3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3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3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3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3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3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3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3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3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3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3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3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3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3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3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3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3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3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3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3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3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3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3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3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3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3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3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3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3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3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3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3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3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3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3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3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3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3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3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3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3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3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3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3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3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3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3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3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3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3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3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3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3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3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3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3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3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3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3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3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3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3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3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3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3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3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3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3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3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3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3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3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3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3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3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3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3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3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3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3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3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3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3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3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3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3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3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3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3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3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3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3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3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3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3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3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3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3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3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3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3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3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3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3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3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3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3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3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3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3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3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3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3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3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3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3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3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3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3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3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3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3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3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3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3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3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3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3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3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3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3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3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3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3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3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3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3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3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3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3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3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3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3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3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3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3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3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3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3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3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3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3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3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3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3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3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3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3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3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3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3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3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3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3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3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3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3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3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3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3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3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3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3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3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3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3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3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3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3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3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3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3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3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3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3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3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3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3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3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3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20" sqref="A20:L37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2" t="s">
        <v>88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</row>
    <row r="2" spans="1:12" ht="28.8" customHeight="1" x14ac:dyDescent="0.3">
      <c r="A2" s="36" t="s">
        <v>148</v>
      </c>
      <c r="B2" s="74" t="s">
        <v>141</v>
      </c>
      <c r="C2" s="75"/>
      <c r="D2" s="37" t="s">
        <v>149</v>
      </c>
      <c r="E2" s="38" t="s">
        <v>128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212616244.42777777</v>
      </c>
      <c r="I3" s="61">
        <v>75108707.320029229</v>
      </c>
      <c r="J3" s="61">
        <v>42070351.435818709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85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142</v>
      </c>
      <c r="L5" s="54" t="s">
        <v>108</v>
      </c>
    </row>
    <row r="6" spans="1:12" ht="17.399999999999999" customHeight="1" x14ac:dyDescent="0.35">
      <c r="A6" s="45">
        <v>60</v>
      </c>
      <c r="B6" s="86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12405748</v>
      </c>
      <c r="I6" s="55">
        <v>13866038.315789472</v>
      </c>
      <c r="J6" s="55">
        <v>13866038.315789472</v>
      </c>
      <c r="K6" s="57" t="s">
        <v>143</v>
      </c>
      <c r="L6" s="54" t="s">
        <v>108</v>
      </c>
    </row>
    <row r="7" spans="1:12" ht="17.399999999999999" customHeight="1" x14ac:dyDescent="0.35">
      <c r="A7" s="71">
        <v>63</v>
      </c>
      <c r="B7" s="87" t="s">
        <v>11</v>
      </c>
      <c r="C7" s="56">
        <v>46308</v>
      </c>
      <c r="D7" s="55">
        <v>7171484</v>
      </c>
      <c r="E7" s="54" t="s">
        <v>83</v>
      </c>
      <c r="F7" s="56">
        <v>46308</v>
      </c>
      <c r="G7" s="55">
        <v>1792871</v>
      </c>
      <c r="H7" s="55">
        <v>1253300</v>
      </c>
      <c r="I7" s="55">
        <v>539571</v>
      </c>
      <c r="J7" s="55">
        <v>539571</v>
      </c>
      <c r="K7" s="57" t="s">
        <v>144</v>
      </c>
      <c r="L7" s="54" t="s">
        <v>108</v>
      </c>
    </row>
    <row r="8" spans="1:12" ht="17.399999999999999" customHeight="1" x14ac:dyDescent="0.35">
      <c r="A8" s="45">
        <v>64</v>
      </c>
      <c r="B8" s="86" t="s">
        <v>8</v>
      </c>
      <c r="C8" s="56">
        <v>46309</v>
      </c>
      <c r="D8" s="55">
        <v>1238264.4078947369</v>
      </c>
      <c r="E8" s="54" t="s">
        <v>83</v>
      </c>
      <c r="F8" s="56">
        <v>46309</v>
      </c>
      <c r="G8" s="55">
        <v>495305.76315789478</v>
      </c>
      <c r="H8" s="55">
        <v>0</v>
      </c>
      <c r="I8" s="55">
        <v>495305.76315789478</v>
      </c>
      <c r="J8" s="55">
        <v>495305.76315789478</v>
      </c>
      <c r="K8" s="57" t="s">
        <v>129</v>
      </c>
      <c r="L8" s="54" t="s">
        <v>108</v>
      </c>
    </row>
    <row r="9" spans="1:12" ht="17.399999999999999" customHeight="1" x14ac:dyDescent="0.35">
      <c r="A9" s="45">
        <v>67</v>
      </c>
      <c r="B9" s="86" t="s">
        <v>8</v>
      </c>
      <c r="C9" s="56">
        <v>46309</v>
      </c>
      <c r="D9" s="55">
        <v>538140.19736842101</v>
      </c>
      <c r="E9" s="54" t="s">
        <v>83</v>
      </c>
      <c r="F9" s="56">
        <v>46309</v>
      </c>
      <c r="G9" s="55">
        <v>215256.07894736843</v>
      </c>
      <c r="H9" s="55">
        <v>0</v>
      </c>
      <c r="I9" s="55">
        <v>215256.07894736843</v>
      </c>
      <c r="J9" s="55">
        <v>215256.07894736843</v>
      </c>
      <c r="K9" s="57" t="s">
        <v>129</v>
      </c>
      <c r="L9" s="54" t="s">
        <v>108</v>
      </c>
    </row>
    <row r="10" spans="1:12" ht="17.399999999999999" customHeight="1" x14ac:dyDescent="0.35">
      <c r="A10" s="48">
        <v>68</v>
      </c>
      <c r="B10" s="88" t="s">
        <v>11</v>
      </c>
      <c r="C10" s="56">
        <v>46309</v>
      </c>
      <c r="D10" s="55">
        <v>1164066</v>
      </c>
      <c r="E10" s="54" t="s">
        <v>83</v>
      </c>
      <c r="F10" s="56">
        <v>46309</v>
      </c>
      <c r="G10" s="55">
        <v>1164066</v>
      </c>
      <c r="H10" s="55">
        <v>0</v>
      </c>
      <c r="I10" s="55">
        <v>1164066</v>
      </c>
      <c r="J10" s="55">
        <v>1164066</v>
      </c>
      <c r="K10" s="57" t="s">
        <v>129</v>
      </c>
      <c r="L10" s="54" t="s">
        <v>108</v>
      </c>
    </row>
    <row r="11" spans="1:12" ht="17.399999999999999" customHeight="1" x14ac:dyDescent="0.35">
      <c r="A11" s="45">
        <v>39</v>
      </c>
      <c r="B11" s="88" t="s">
        <v>38</v>
      </c>
      <c r="C11" s="56">
        <v>46250</v>
      </c>
      <c r="D11" s="55">
        <v>2017305</v>
      </c>
      <c r="E11" s="54" t="s">
        <v>82</v>
      </c>
      <c r="F11" s="56">
        <v>46310</v>
      </c>
      <c r="G11" s="55">
        <v>2017305</v>
      </c>
      <c r="H11" s="55">
        <v>2000000</v>
      </c>
      <c r="I11" s="55">
        <v>17305</v>
      </c>
      <c r="J11" s="55">
        <v>17305</v>
      </c>
      <c r="K11" s="57" t="s">
        <v>125</v>
      </c>
      <c r="L11" s="54" t="s">
        <v>108</v>
      </c>
    </row>
    <row r="12" spans="1:12" ht="17.399999999999999" customHeight="1" x14ac:dyDescent="0.35">
      <c r="A12" s="47">
        <v>69</v>
      </c>
      <c r="B12" s="86" t="s">
        <v>11</v>
      </c>
      <c r="C12" s="56">
        <v>46312</v>
      </c>
      <c r="D12" s="55">
        <v>1783434</v>
      </c>
      <c r="E12" s="54" t="s">
        <v>83</v>
      </c>
      <c r="F12" s="56">
        <v>46312</v>
      </c>
      <c r="G12" s="55">
        <v>1783434</v>
      </c>
      <c r="H12" s="55">
        <v>0</v>
      </c>
      <c r="I12" s="55">
        <v>1783434</v>
      </c>
      <c r="J12" s="55">
        <v>1783434</v>
      </c>
      <c r="K12" s="57" t="s">
        <v>145</v>
      </c>
      <c r="L12" s="54" t="s">
        <v>108</v>
      </c>
    </row>
    <row r="13" spans="1:12" ht="17.399999999999999" customHeight="1" x14ac:dyDescent="0.35">
      <c r="A13" s="47">
        <v>71</v>
      </c>
      <c r="B13" s="86" t="s">
        <v>11</v>
      </c>
      <c r="C13" s="56">
        <v>46313</v>
      </c>
      <c r="D13" s="55">
        <v>1156206</v>
      </c>
      <c r="E13" s="54" t="s">
        <v>83</v>
      </c>
      <c r="F13" s="56">
        <v>46313</v>
      </c>
      <c r="G13" s="55">
        <v>1156206</v>
      </c>
      <c r="H13" s="55">
        <v>0</v>
      </c>
      <c r="I13" s="55">
        <v>1156206</v>
      </c>
      <c r="J13" s="55">
        <v>1156206</v>
      </c>
      <c r="K13" s="57" t="s">
        <v>130</v>
      </c>
      <c r="L13" s="54" t="s">
        <v>108</v>
      </c>
    </row>
    <row r="14" spans="1:12" ht="17.399999999999999" customHeight="1" x14ac:dyDescent="0.35">
      <c r="A14" s="65">
        <v>72</v>
      </c>
      <c r="B14" s="85" t="s">
        <v>99</v>
      </c>
      <c r="C14" s="56">
        <v>46313</v>
      </c>
      <c r="D14" s="55">
        <v>3053830</v>
      </c>
      <c r="E14" s="54" t="s">
        <v>83</v>
      </c>
      <c r="F14" s="56">
        <v>46313</v>
      </c>
      <c r="G14" s="55">
        <v>1526915</v>
      </c>
      <c r="H14" s="55">
        <v>1500000</v>
      </c>
      <c r="I14" s="55">
        <v>26915</v>
      </c>
      <c r="J14" s="55">
        <v>26915</v>
      </c>
      <c r="K14" s="57" t="s">
        <v>130</v>
      </c>
      <c r="L14" s="54" t="s">
        <v>108</v>
      </c>
    </row>
    <row r="15" spans="1:12" ht="17.399999999999999" customHeight="1" x14ac:dyDescent="0.35">
      <c r="A15" s="45">
        <v>73</v>
      </c>
      <c r="B15" s="86" t="s">
        <v>8</v>
      </c>
      <c r="C15" s="56">
        <v>46314</v>
      </c>
      <c r="D15" s="55">
        <v>5926550.6491228072</v>
      </c>
      <c r="E15" s="54" t="s">
        <v>83</v>
      </c>
      <c r="F15" s="56">
        <v>46314</v>
      </c>
      <c r="G15" s="55">
        <v>2370620.2596491231</v>
      </c>
      <c r="H15" s="55">
        <v>0</v>
      </c>
      <c r="I15" s="55">
        <v>2370620.2596491231</v>
      </c>
      <c r="J15" s="55">
        <v>2370620.2596491231</v>
      </c>
      <c r="K15" s="57" t="s">
        <v>126</v>
      </c>
      <c r="L15" s="54" t="s">
        <v>108</v>
      </c>
    </row>
    <row r="16" spans="1:12" ht="17.399999999999999" customHeight="1" x14ac:dyDescent="0.35">
      <c r="A16" s="45" t="s">
        <v>30</v>
      </c>
      <c r="B16" s="86" t="s">
        <v>8</v>
      </c>
      <c r="C16" s="56">
        <v>46232</v>
      </c>
      <c r="D16" s="55">
        <v>7077431.6118421052</v>
      </c>
      <c r="E16" s="54" t="s">
        <v>86</v>
      </c>
      <c r="F16" s="56">
        <v>46315</v>
      </c>
      <c r="G16" s="55">
        <v>2359143.8706140351</v>
      </c>
      <c r="H16" s="55">
        <v>0</v>
      </c>
      <c r="I16" s="55">
        <v>2359143.8706140351</v>
      </c>
      <c r="J16" s="55">
        <v>2359143.8706140351</v>
      </c>
      <c r="K16" s="57" t="s">
        <v>109</v>
      </c>
      <c r="L16" s="54" t="s">
        <v>108</v>
      </c>
    </row>
    <row r="17" spans="1:12" ht="17.399999999999999" customHeight="1" x14ac:dyDescent="0.35">
      <c r="A17" s="48">
        <v>47</v>
      </c>
      <c r="B17" s="88" t="s">
        <v>11</v>
      </c>
      <c r="C17" s="56">
        <v>46284</v>
      </c>
      <c r="D17" s="55">
        <v>4577624</v>
      </c>
      <c r="E17" s="54" t="s">
        <v>82</v>
      </c>
      <c r="F17" s="56">
        <v>46315</v>
      </c>
      <c r="G17" s="55">
        <v>3433218</v>
      </c>
      <c r="H17" s="55">
        <v>0</v>
      </c>
      <c r="I17" s="55">
        <v>3433218</v>
      </c>
      <c r="J17" s="55">
        <v>3433218</v>
      </c>
      <c r="K17" s="57" t="s">
        <v>109</v>
      </c>
      <c r="L17" s="54" t="s">
        <v>108</v>
      </c>
    </row>
    <row r="18" spans="1:12" ht="17.399999999999999" customHeight="1" x14ac:dyDescent="0.35">
      <c r="A18" s="45">
        <v>31</v>
      </c>
      <c r="B18" s="86" t="s">
        <v>8</v>
      </c>
      <c r="C18" s="56">
        <v>46240</v>
      </c>
      <c r="D18" s="55">
        <v>20832933.25877193</v>
      </c>
      <c r="E18" s="54" t="s">
        <v>86</v>
      </c>
      <c r="F18" s="56">
        <v>46321</v>
      </c>
      <c r="G18" s="55">
        <v>6944311.0862573097</v>
      </c>
      <c r="H18" s="55">
        <v>0</v>
      </c>
      <c r="I18" s="55">
        <v>6944311.0862573097</v>
      </c>
      <c r="J18" s="55">
        <v>6944311.0862573097</v>
      </c>
      <c r="K18" s="57" t="s">
        <v>146</v>
      </c>
      <c r="L18" s="54" t="s">
        <v>108</v>
      </c>
    </row>
    <row r="19" spans="1:12" ht="17.399999999999999" customHeight="1" x14ac:dyDescent="0.35">
      <c r="A19" s="45">
        <v>37</v>
      </c>
      <c r="B19" s="86" t="s">
        <v>8</v>
      </c>
      <c r="C19" s="56">
        <v>46250</v>
      </c>
      <c r="D19" s="55">
        <v>8800606.5263157897</v>
      </c>
      <c r="E19" s="54" t="s">
        <v>86</v>
      </c>
      <c r="F19" s="56">
        <v>46321</v>
      </c>
      <c r="G19" s="55">
        <v>2933535.5087719299</v>
      </c>
      <c r="H19" s="55">
        <v>0</v>
      </c>
      <c r="I19" s="55">
        <v>2933535.5087719299</v>
      </c>
      <c r="J19" s="55">
        <v>2933535.5087719299</v>
      </c>
      <c r="K19" s="57" t="s">
        <v>146</v>
      </c>
      <c r="L19" s="54" t="s">
        <v>108</v>
      </c>
    </row>
    <row r="20" spans="1:12" ht="17.399999999999999" customHeight="1" x14ac:dyDescent="0.35">
      <c r="A20" s="45">
        <v>46</v>
      </c>
      <c r="B20" s="86" t="s">
        <v>8</v>
      </c>
      <c r="C20" s="56">
        <v>46281</v>
      </c>
      <c r="D20" s="55">
        <v>9846915.1578947362</v>
      </c>
      <c r="E20" s="54" t="s">
        <v>86</v>
      </c>
      <c r="F20" s="56">
        <v>46321</v>
      </c>
      <c r="G20" s="55">
        <v>3282305.0526315789</v>
      </c>
      <c r="H20" s="55">
        <v>0</v>
      </c>
      <c r="I20" s="55">
        <v>3282305.0526315789</v>
      </c>
      <c r="J20" s="55">
        <v>3282305.0526315789</v>
      </c>
      <c r="K20" s="57" t="s">
        <v>146</v>
      </c>
      <c r="L20" s="54" t="s">
        <v>108</v>
      </c>
    </row>
    <row r="21" spans="1:12" ht="17.399999999999999" customHeight="1" x14ac:dyDescent="0.35">
      <c r="A21" s="48">
        <v>51</v>
      </c>
      <c r="B21" s="88" t="s">
        <v>11</v>
      </c>
      <c r="C21" s="56">
        <v>46292</v>
      </c>
      <c r="D21" s="55">
        <v>4576040</v>
      </c>
      <c r="E21" s="54" t="s">
        <v>82</v>
      </c>
      <c r="F21" s="56">
        <v>46322</v>
      </c>
      <c r="G21" s="55">
        <v>2288020</v>
      </c>
      <c r="H21" s="55">
        <v>805700</v>
      </c>
      <c r="I21" s="55">
        <v>1482320</v>
      </c>
      <c r="J21" s="55">
        <v>1482320</v>
      </c>
      <c r="K21" s="57" t="s">
        <v>131</v>
      </c>
      <c r="L21" s="54" t="s">
        <v>108</v>
      </c>
    </row>
    <row r="22" spans="1:12" ht="17.399999999999999" customHeight="1" x14ac:dyDescent="0.35">
      <c r="A22" s="45">
        <v>52</v>
      </c>
      <c r="B22" s="64" t="s">
        <v>99</v>
      </c>
      <c r="C22" s="67">
        <v>46297</v>
      </c>
      <c r="D22" s="68">
        <v>5384800</v>
      </c>
      <c r="E22" s="70" t="s">
        <v>82</v>
      </c>
      <c r="F22" s="67">
        <v>46327</v>
      </c>
      <c r="G22" s="68">
        <v>2599999.9999999991</v>
      </c>
      <c r="H22" s="68">
        <v>0</v>
      </c>
      <c r="I22" s="68">
        <v>2599999.9999999991</v>
      </c>
      <c r="J22" s="68">
        <v>0</v>
      </c>
      <c r="K22" s="69"/>
      <c r="L22" s="66" t="s">
        <v>147</v>
      </c>
    </row>
    <row r="23" spans="1:12" ht="17.399999999999999" customHeight="1" x14ac:dyDescent="0.35">
      <c r="A23" s="42">
        <v>55</v>
      </c>
      <c r="B23" s="87" t="s">
        <v>99</v>
      </c>
      <c r="C23" s="56">
        <v>46301</v>
      </c>
      <c r="D23" s="55">
        <v>4791465</v>
      </c>
      <c r="E23" s="54" t="s">
        <v>82</v>
      </c>
      <c r="F23" s="56">
        <v>46331</v>
      </c>
      <c r="G23" s="55">
        <v>2395732.5</v>
      </c>
      <c r="H23" s="55">
        <v>0</v>
      </c>
      <c r="I23" s="55">
        <v>2395732.5</v>
      </c>
      <c r="J23" s="55">
        <v>0</v>
      </c>
      <c r="K23" s="57"/>
      <c r="L23" s="54" t="s">
        <v>132</v>
      </c>
    </row>
    <row r="24" spans="1:12" ht="17.399999999999999" customHeight="1" x14ac:dyDescent="0.35">
      <c r="A24" s="48">
        <v>62</v>
      </c>
      <c r="B24" s="86" t="s">
        <v>11</v>
      </c>
      <c r="C24" s="56">
        <v>46307</v>
      </c>
      <c r="D24" s="55">
        <v>3795800</v>
      </c>
      <c r="E24" s="54" t="s">
        <v>82</v>
      </c>
      <c r="F24" s="56">
        <v>46337</v>
      </c>
      <c r="G24" s="55">
        <v>2846850</v>
      </c>
      <c r="H24" s="55">
        <v>0</v>
      </c>
      <c r="I24" s="55">
        <v>2846850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63</v>
      </c>
      <c r="B25" s="87" t="s">
        <v>11</v>
      </c>
      <c r="C25" s="56">
        <v>46308</v>
      </c>
      <c r="D25" s="55">
        <v>7171484</v>
      </c>
      <c r="E25" s="54" t="s">
        <v>82</v>
      </c>
      <c r="F25" s="56">
        <v>46338</v>
      </c>
      <c r="G25" s="55">
        <v>5378613</v>
      </c>
      <c r="H25" s="55">
        <v>0</v>
      </c>
      <c r="I25" s="55">
        <v>5378613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64</v>
      </c>
      <c r="B26" s="86" t="s">
        <v>8</v>
      </c>
      <c r="C26" s="56">
        <v>46309</v>
      </c>
      <c r="D26" s="55">
        <v>1238264.4078947369</v>
      </c>
      <c r="E26" s="54" t="s">
        <v>82</v>
      </c>
      <c r="F26" s="56">
        <v>46340</v>
      </c>
      <c r="G26" s="55">
        <v>371479.32236842107</v>
      </c>
      <c r="H26" s="55">
        <v>0</v>
      </c>
      <c r="I26" s="55">
        <v>371479.32236842107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67</v>
      </c>
      <c r="B27" s="86" t="s">
        <v>8</v>
      </c>
      <c r="C27" s="56">
        <v>46309</v>
      </c>
      <c r="D27" s="55">
        <v>538140.19736842101</v>
      </c>
      <c r="E27" s="54" t="s">
        <v>82</v>
      </c>
      <c r="F27" s="56">
        <v>46340</v>
      </c>
      <c r="G27" s="55">
        <v>161442.05921052629</v>
      </c>
      <c r="H27" s="55">
        <v>0</v>
      </c>
      <c r="I27" s="55">
        <v>161442.05921052629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72</v>
      </c>
      <c r="B28" s="85" t="s">
        <v>99</v>
      </c>
      <c r="C28" s="56">
        <v>46313</v>
      </c>
      <c r="D28" s="55">
        <v>3053830</v>
      </c>
      <c r="E28" s="54" t="s">
        <v>82</v>
      </c>
      <c r="F28" s="56">
        <v>46344</v>
      </c>
      <c r="G28" s="55">
        <v>1526915</v>
      </c>
      <c r="H28" s="55">
        <v>0</v>
      </c>
      <c r="I28" s="55">
        <v>1526915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73</v>
      </c>
      <c r="B29" s="86" t="s">
        <v>8</v>
      </c>
      <c r="C29" s="56">
        <v>46314</v>
      </c>
      <c r="D29" s="55">
        <v>5926550.6491228072</v>
      </c>
      <c r="E29" s="54" t="s">
        <v>82</v>
      </c>
      <c r="F29" s="56">
        <v>46345</v>
      </c>
      <c r="G29" s="55">
        <v>1777965.1947368421</v>
      </c>
      <c r="H29" s="55">
        <v>0</v>
      </c>
      <c r="I29" s="55">
        <v>1777965.1947368421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49</v>
      </c>
      <c r="B30" s="70" t="s">
        <v>38</v>
      </c>
      <c r="C30" s="56">
        <v>46286</v>
      </c>
      <c r="D30" s="55">
        <v>1923110</v>
      </c>
      <c r="E30" s="54" t="s">
        <v>82</v>
      </c>
      <c r="F30" s="56">
        <v>46346</v>
      </c>
      <c r="G30" s="55">
        <v>1923110</v>
      </c>
      <c r="H30" s="55">
        <v>0</v>
      </c>
      <c r="I30" s="55">
        <v>1923110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57</v>
      </c>
      <c r="B31" s="86" t="s">
        <v>8</v>
      </c>
      <c r="C31" s="56">
        <v>46304</v>
      </c>
      <c r="D31" s="55">
        <v>12289987.052631579</v>
      </c>
      <c r="E31" s="54" t="s">
        <v>82</v>
      </c>
      <c r="F31" s="56">
        <v>46349</v>
      </c>
      <c r="G31" s="55">
        <v>3686996.1157894735</v>
      </c>
      <c r="H31" s="55">
        <v>0</v>
      </c>
      <c r="I31" s="55">
        <v>3686996.1157894735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8">
        <v>51</v>
      </c>
      <c r="B32" s="85" t="s">
        <v>11</v>
      </c>
      <c r="C32" s="56">
        <v>46292</v>
      </c>
      <c r="D32" s="55">
        <v>4576040</v>
      </c>
      <c r="E32" s="54" t="s">
        <v>84</v>
      </c>
      <c r="F32" s="56">
        <v>46353</v>
      </c>
      <c r="G32" s="55">
        <v>2288020</v>
      </c>
      <c r="H32" s="55">
        <v>0</v>
      </c>
      <c r="I32" s="55">
        <v>2288020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64</v>
      </c>
      <c r="B33" s="86" t="s">
        <v>8</v>
      </c>
      <c r="C33" s="56">
        <v>46309</v>
      </c>
      <c r="D33" s="55">
        <v>1238264.4078947369</v>
      </c>
      <c r="E33" s="54" t="s">
        <v>84</v>
      </c>
      <c r="F33" s="56">
        <v>46370</v>
      </c>
      <c r="G33" s="55">
        <v>371479.32236842107</v>
      </c>
      <c r="H33" s="55">
        <v>0</v>
      </c>
      <c r="I33" s="55">
        <v>371479.32236842107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5">
        <v>67</v>
      </c>
      <c r="B34" s="86" t="s">
        <v>8</v>
      </c>
      <c r="C34" s="56">
        <v>46309</v>
      </c>
      <c r="D34" s="55">
        <v>538140.19736842101</v>
      </c>
      <c r="E34" s="54" t="s">
        <v>84</v>
      </c>
      <c r="F34" s="56">
        <v>46370</v>
      </c>
      <c r="G34" s="55">
        <v>161442.05921052629</v>
      </c>
      <c r="H34" s="55">
        <v>0</v>
      </c>
      <c r="I34" s="55">
        <v>161442.05921052629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2">
        <v>70</v>
      </c>
      <c r="B35" s="70" t="s">
        <v>100</v>
      </c>
      <c r="C35" s="56">
        <v>46310</v>
      </c>
      <c r="D35" s="55">
        <v>2083350</v>
      </c>
      <c r="E35" s="54" t="s">
        <v>82</v>
      </c>
      <c r="F35" s="56">
        <v>46370</v>
      </c>
      <c r="G35" s="55">
        <v>2083350</v>
      </c>
      <c r="H35" s="55">
        <v>0</v>
      </c>
      <c r="I35" s="55">
        <v>2083350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73</v>
      </c>
      <c r="B36" s="86" t="s">
        <v>8</v>
      </c>
      <c r="C36" s="56">
        <v>46314</v>
      </c>
      <c r="D36" s="55">
        <v>5926550.6491228072</v>
      </c>
      <c r="E36" s="54" t="s">
        <v>84</v>
      </c>
      <c r="F36" s="56">
        <v>46375</v>
      </c>
      <c r="G36" s="55">
        <v>1777965.1947368421</v>
      </c>
      <c r="H36" s="55">
        <v>0</v>
      </c>
      <c r="I36" s="55">
        <v>1777965.1947368421</v>
      </c>
      <c r="J36" s="55">
        <v>0</v>
      </c>
      <c r="K36" s="57"/>
      <c r="L36" s="54" t="s">
        <v>85</v>
      </c>
    </row>
    <row r="37" spans="1:12" ht="17.399999999999999" customHeight="1" x14ac:dyDescent="0.35">
      <c r="A37" s="45">
        <v>57</v>
      </c>
      <c r="B37" s="86" t="s">
        <v>8</v>
      </c>
      <c r="C37" s="56">
        <v>46304</v>
      </c>
      <c r="D37" s="55">
        <v>12289987.052631579</v>
      </c>
      <c r="E37" s="54" t="s">
        <v>84</v>
      </c>
      <c r="F37" s="56">
        <v>46379</v>
      </c>
      <c r="G37" s="55">
        <v>3686996.1157894735</v>
      </c>
      <c r="H37" s="55">
        <v>0</v>
      </c>
      <c r="I37" s="55">
        <v>3686996.1157894735</v>
      </c>
      <c r="J37" s="55">
        <v>0</v>
      </c>
      <c r="K37" s="57"/>
      <c r="L37" s="54" t="s">
        <v>85</v>
      </c>
    </row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40" priority="37" operator="containsText" text="✓">
      <formula>NOT(ISERROR(SEARCH("✓",F2)))</formula>
    </cfRule>
  </conditionalFormatting>
  <conditionalFormatting sqref="F2">
    <cfRule type="containsText" dxfId="39" priority="38" operator="containsText" text="✗">
      <formula>NOT(ISERROR(SEARCH("✗",F2)))</formula>
    </cfRule>
  </conditionalFormatting>
  <conditionalFormatting sqref="L5">
    <cfRule type="containsText" dxfId="38" priority="31" operator="containsText" text="مسدّد">
      <formula>NOT(ISERROR(SEARCH("مسدّد",L5)))</formula>
    </cfRule>
  </conditionalFormatting>
  <conditionalFormatting sqref="L5">
    <cfRule type="containsText" dxfId="37" priority="32" operator="containsText" text="مستحق">
      <formula>NOT(ISERROR(SEARCH("مستحق",L5)))</formula>
    </cfRule>
  </conditionalFormatting>
  <conditionalFormatting sqref="L5">
    <cfRule type="containsText" dxfId="36" priority="33" operator="containsText" text="قريب">
      <formula>NOT(ISERROR(SEARCH("قريب",L5)))</formula>
    </cfRule>
  </conditionalFormatting>
  <conditionalFormatting sqref="L5">
    <cfRule type="containsText" dxfId="35" priority="34" operator="containsText" text="جار">
      <formula>NOT(ISERROR(SEARCH("جار",L5)))</formula>
    </cfRule>
  </conditionalFormatting>
  <conditionalFormatting sqref="L5">
    <cfRule type="containsText" dxfId="34" priority="35" operator="containsText" text="بدون">
      <formula>NOT(ISERROR(SEARCH("بدون",L5)))</formula>
    </cfRule>
  </conditionalFormatting>
  <conditionalFormatting sqref="J5">
    <cfRule type="cellIs" dxfId="33" priority="36" operator="greaterThan">
      <formula>0</formula>
    </cfRule>
  </conditionalFormatting>
  <conditionalFormatting sqref="L6">
    <cfRule type="containsText" dxfId="32" priority="25" operator="containsText" text="مسدّد">
      <formula>NOT(ISERROR(SEARCH("مسدّد",L6)))</formula>
    </cfRule>
  </conditionalFormatting>
  <conditionalFormatting sqref="L6">
    <cfRule type="containsText" dxfId="31" priority="26" operator="containsText" text="مستحق">
      <formula>NOT(ISERROR(SEARCH("مستحق",L6)))</formula>
    </cfRule>
  </conditionalFormatting>
  <conditionalFormatting sqref="L6">
    <cfRule type="containsText" dxfId="30" priority="27" operator="containsText" text="قريب">
      <formula>NOT(ISERROR(SEARCH("قريب",L6)))</formula>
    </cfRule>
  </conditionalFormatting>
  <conditionalFormatting sqref="L6">
    <cfRule type="containsText" dxfId="29" priority="28" operator="containsText" text="جار">
      <formula>NOT(ISERROR(SEARCH("جار",L6)))</formula>
    </cfRule>
  </conditionalFormatting>
  <conditionalFormatting sqref="L6">
    <cfRule type="containsText" dxfId="28" priority="29" operator="containsText" text="بدون">
      <formula>NOT(ISERROR(SEARCH("بدون",L6)))</formula>
    </cfRule>
  </conditionalFormatting>
  <conditionalFormatting sqref="J6">
    <cfRule type="cellIs" dxfId="27" priority="30" operator="greaterThan">
      <formula>0</formula>
    </cfRule>
  </conditionalFormatting>
  <conditionalFormatting sqref="L7:L11">
    <cfRule type="containsText" dxfId="26" priority="19" operator="containsText" text="مسدّد">
      <formula>NOT(ISERROR(SEARCH("مسدّد",L7)))</formula>
    </cfRule>
  </conditionalFormatting>
  <conditionalFormatting sqref="L7:L11">
    <cfRule type="containsText" dxfId="25" priority="20" operator="containsText" text="مستحق">
      <formula>NOT(ISERROR(SEARCH("مستحق",L7)))</formula>
    </cfRule>
  </conditionalFormatting>
  <conditionalFormatting sqref="L7:L11">
    <cfRule type="containsText" dxfId="24" priority="21" operator="containsText" text="قريب">
      <formula>NOT(ISERROR(SEARCH("قريب",L7)))</formula>
    </cfRule>
  </conditionalFormatting>
  <conditionalFormatting sqref="L7:L11">
    <cfRule type="containsText" dxfId="23" priority="22" operator="containsText" text="جار">
      <formula>NOT(ISERROR(SEARCH("جار",L7)))</formula>
    </cfRule>
  </conditionalFormatting>
  <conditionalFormatting sqref="L7:L11">
    <cfRule type="containsText" dxfId="22" priority="23" operator="containsText" text="بدون">
      <formula>NOT(ISERROR(SEARCH("بدون",L7)))</formula>
    </cfRule>
  </conditionalFormatting>
  <conditionalFormatting sqref="J7:J11">
    <cfRule type="cellIs" dxfId="21" priority="24" operator="greaterThan">
      <formula>0</formula>
    </cfRule>
  </conditionalFormatting>
  <conditionalFormatting sqref="L12:L17">
    <cfRule type="containsText" dxfId="20" priority="13" operator="containsText" text="مسدّد">
      <formula>NOT(ISERROR(SEARCH("مسدّد",L12)))</formula>
    </cfRule>
  </conditionalFormatting>
  <conditionalFormatting sqref="L12:L17">
    <cfRule type="containsText" dxfId="19" priority="14" operator="containsText" text="مستحق">
      <formula>NOT(ISERROR(SEARCH("مستحق",L12)))</formula>
    </cfRule>
  </conditionalFormatting>
  <conditionalFormatting sqref="L12:L17">
    <cfRule type="containsText" dxfId="18" priority="15" operator="containsText" text="قريب">
      <formula>NOT(ISERROR(SEARCH("قريب",L12)))</formula>
    </cfRule>
  </conditionalFormatting>
  <conditionalFormatting sqref="L12:L17">
    <cfRule type="containsText" dxfId="17" priority="16" operator="containsText" text="جار">
      <formula>NOT(ISERROR(SEARCH("جار",L12)))</formula>
    </cfRule>
  </conditionalFormatting>
  <conditionalFormatting sqref="L12:L17">
    <cfRule type="containsText" dxfId="16" priority="17" operator="containsText" text="بدون">
      <formula>NOT(ISERROR(SEARCH("بدون",L12)))</formula>
    </cfRule>
  </conditionalFormatting>
  <conditionalFormatting sqref="J12:J17">
    <cfRule type="cellIs" dxfId="15" priority="18" operator="greaterThan">
      <formula>0</formula>
    </cfRule>
  </conditionalFormatting>
  <conditionalFormatting sqref="L18:L19">
    <cfRule type="containsText" dxfId="14" priority="7" operator="containsText" text="مسدّد">
      <formula>NOT(ISERROR(SEARCH("مسدّد",L18)))</formula>
    </cfRule>
  </conditionalFormatting>
  <conditionalFormatting sqref="L18:L19">
    <cfRule type="containsText" dxfId="13" priority="8" operator="containsText" text="مستحق">
      <formula>NOT(ISERROR(SEARCH("مستحق",L18)))</formula>
    </cfRule>
  </conditionalFormatting>
  <conditionalFormatting sqref="L18:L19">
    <cfRule type="containsText" dxfId="12" priority="9" operator="containsText" text="قريب">
      <formula>NOT(ISERROR(SEARCH("قريب",L18)))</formula>
    </cfRule>
  </conditionalFormatting>
  <conditionalFormatting sqref="L18:L19">
    <cfRule type="containsText" dxfId="11" priority="10" operator="containsText" text="جار">
      <formula>NOT(ISERROR(SEARCH("جار",L18)))</formula>
    </cfRule>
  </conditionalFormatting>
  <conditionalFormatting sqref="L18:L19">
    <cfRule type="containsText" dxfId="10" priority="11" operator="containsText" text="بدون">
      <formula>NOT(ISERROR(SEARCH("بدون",L18)))</formula>
    </cfRule>
  </conditionalFormatting>
  <conditionalFormatting sqref="J18:J19">
    <cfRule type="cellIs" dxfId="9" priority="12" operator="greaterThan">
      <formula>0</formula>
    </cfRule>
  </conditionalFormatting>
  <conditionalFormatting sqref="L20:L37">
    <cfRule type="containsText" dxfId="8" priority="1" operator="containsText" text="مسدّد">
      <formula>NOT(ISERROR(SEARCH("مسدّد",L20)))</formula>
    </cfRule>
  </conditionalFormatting>
  <conditionalFormatting sqref="L20:L37">
    <cfRule type="containsText" dxfId="7" priority="2" operator="containsText" text="مستحق">
      <formula>NOT(ISERROR(SEARCH("مستحق",L20)))</formula>
    </cfRule>
  </conditionalFormatting>
  <conditionalFormatting sqref="L20:L37">
    <cfRule type="containsText" dxfId="6" priority="3" operator="containsText" text="قريب">
      <formula>NOT(ISERROR(SEARCH("قريب",L20)))</formula>
    </cfRule>
  </conditionalFormatting>
  <conditionalFormatting sqref="L20:L37">
    <cfRule type="containsText" dxfId="5" priority="4" operator="containsText" text="جار">
      <formula>NOT(ISERROR(SEARCH("جار",L20)))</formula>
    </cfRule>
  </conditionalFormatting>
  <conditionalFormatting sqref="L20:L37">
    <cfRule type="containsText" dxfId="4" priority="5" operator="containsText" text="بدون">
      <formula>NOT(ISERROR(SEARCH("بدون",L20)))</formula>
    </cfRule>
  </conditionalFormatting>
  <conditionalFormatting sqref="J20:J37">
    <cfRule type="cellIs" dxfId="3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6" t="s">
        <v>40</v>
      </c>
      <c r="B1" s="77"/>
      <c r="C1" s="77"/>
      <c r="I1" s="80" t="s">
        <v>41</v>
      </c>
      <c r="J1" s="81"/>
      <c r="K1" s="81"/>
    </row>
    <row r="2" spans="1:11" ht="15.6" x14ac:dyDescent="0.3">
      <c r="A2" s="2" t="s">
        <v>42</v>
      </c>
      <c r="B2" s="78">
        <f>SUM(B4:B3000)-SUM(C4:C3000)</f>
        <v>74937950.297807068</v>
      </c>
      <c r="C2" s="79"/>
      <c r="I2" s="3" t="s">
        <v>42</v>
      </c>
      <c r="J2" s="78">
        <f>SUM(J4:J3000)-SUM(K4:K3000)</f>
        <v>-81837275</v>
      </c>
      <c r="K2" s="79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44462280.282894775</v>
      </c>
      <c r="C6" s="7">
        <v>0</v>
      </c>
    </row>
    <row r="7" spans="1:11" ht="18" customHeight="1" x14ac:dyDescent="0.35">
      <c r="A7" s="6" t="s">
        <v>11</v>
      </c>
      <c r="B7" s="7">
        <v>20072298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2" t="s">
        <v>69</v>
      </c>
      <c r="B1" s="82"/>
      <c r="C1" s="82"/>
      <c r="D1" s="82"/>
    </row>
    <row r="2" spans="1:4" x14ac:dyDescent="0.3">
      <c r="A2" s="21" t="s">
        <v>70</v>
      </c>
      <c r="B2" s="22">
        <v>17</v>
      </c>
      <c r="C2" s="23">
        <v>42070351.435818709</v>
      </c>
      <c r="D2" s="24">
        <v>10.117647058825241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8</v>
      </c>
      <c r="B6" s="26">
        <v>8</v>
      </c>
      <c r="C6" s="27">
        <v>32466515.935818713</v>
      </c>
      <c r="D6" s="28">
        <v>8.5</v>
      </c>
    </row>
    <row r="7" spans="1:4" x14ac:dyDescent="0.3">
      <c r="A7" s="29" t="s">
        <v>11</v>
      </c>
      <c r="B7" s="26">
        <v>6</v>
      </c>
      <c r="C7" s="27">
        <v>9558815</v>
      </c>
      <c r="D7" s="28">
        <v>9.8333333333357587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Tnd6Nj9Fu8AYwtncH6zxDLCFOJRIK8fSUufXbJHGGfyL59VmZlo3p8L030wi8k+eEFiJXbAhtVFY4s7eahXMXw==" saltValue="adZ4Y27bnNnWLQH2mIyg8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2026-10-27T09:10:44Z</dcterms:modified>
</cp:coreProperties>
</file>