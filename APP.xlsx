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FC77969F-20E8-48B7-B26E-CA9E12B6B35D}" xr6:coauthVersionLast="47" xr6:coauthVersionMax="47" xr10:uidLastSave="{00000000-0000-0000-0000-000000000000}"/>
  <bookViews>
    <workbookView xWindow="-108" yWindow="-108" windowWidth="23256" windowHeight="12576" firstSheet="3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3" i="7" l="1"/>
  <c r="G4" i="7"/>
  <c r="G5" i="7"/>
  <c r="G6" i="7"/>
  <c r="G7" i="7"/>
  <c r="G8" i="7"/>
  <c r="G9" i="7"/>
  <c r="G10" i="7"/>
  <c r="G11" i="7"/>
  <c r="G12" i="7"/>
  <c r="G13" i="7"/>
  <c r="G14" i="7"/>
  <c r="G15" i="7"/>
  <c r="G16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<sst xmlns="http://schemas.openxmlformats.org/spreadsheetml/2006/main" count="736" uniqueCount="148">
  <si>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</si>
  <si>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</si>
  <si>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</si>
  <si>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</si>
  <si>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</si>
  <si>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</si>
  <si>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</si>
  <si>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</si>
  <si>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</si>
  <si>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</si>
  <si>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</si>
  <si>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</si>
  <si>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</si>
  <si>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</si>
  <si>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</si>
  <si>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</si>
  <si>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</si>
  <si>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</si>
  <si>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</si>
  <si>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</si>
  <si>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</si>
  <si>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</si>
  <si>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</si>
  <si>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</si>
  <si>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</si>
  <si>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</si>
  <si>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</si>
  <si>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</si>
  <si>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</si>
  <si>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</si>
  <si>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</si>
  <si>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</si>
  <si>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</si>
  <si>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</si>
  <si>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</si>
  <si>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</si>
  <si>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</si>
  <si>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</si>
  <si>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</si>
  <si>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</si>
  <si>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</si>
  <si>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</si>
  <si>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</si>
  <si>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</si>
  <si>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</si>
  <si>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</si>
  <si>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</si>
  <si>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</si>
  <si>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</si>
  <si>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</si>
  <si>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</si>
  <si>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</si>
  <si>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</si>
  <si>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</si>
  <si>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</si>
  <si>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</si>
  <si>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</si>
  <si>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</si>
  <si>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</si>
  <si>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</si>
  <si>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</si>
  <si>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</si>
  <si>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</si>
  <si>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</si>
  <si>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</si>
  <si>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</si>
  <si>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</si>
  <si>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</si>
  <si>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</si>
  <si>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</si>
  <si>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</si>
  <si>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</si>
  <si>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</si>
  <si>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</si>
  <si>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</si>
  <si>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</si>
  <si>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</si>
  <si>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</si>
  <si>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</si>
  <si>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</si>
  <si>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</si>
  <si>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</si>
  <si>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</si>
  <si>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</si>
  <si>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</si>
  <si>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</si>
  <si>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</si>
  <si>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</si>
  <si>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</si>
  <si>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</si>
  <si>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</si>
  <si>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</si>
  <si>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</si>
  <si>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</si>
  <si>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</si>
  <si>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</si>
  <si>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</si>
  <si>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</si>
  <si>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</si>
  <si>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</si>
  <si>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</si>
  <si>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</si>
  <si>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مصر</t>
  </si>
  <si>
    <t>أ.د</t>
  </si>
  <si>
    <t>ياسر خشب</t>
  </si>
  <si>
    <t>نظافه - شيل سيتي</t>
  </si>
  <si>
    <t>في ترانس</t>
  </si>
  <si>
    <t>⚠ مستحق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</si>
  <si>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</si>
  <si>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</si>
  <si>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</si>
  <si>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</si>
  <si>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</si>
  <si>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</si>
  <si>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</si>
  <si>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</si>
  <si>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</si>
  <si>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</si>
  <si>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</si>
  <si>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</si>
  <si>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</si>
  <si>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</si>
  <si>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</si>
  <si>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🟢 جارٍ
28,042,623</t>
  </si>
  <si>
    <t>10 أيام</t>
  </si>
  <si>
    <t>🔔 قريب الاستحقاق
4,995,733</t>
  </si>
  <si>
    <t>11 يوم</t>
  </si>
  <si>
    <t>✅ مسدّد
194,049,435</t>
  </si>
  <si>
    <t>⚠ باقي 27 يوم</t>
  </si>
  <si>
    <t>15 يوم</t>
  </si>
  <si>
    <t>12 يوم</t>
  </si>
  <si>
    <t>3 أيام</t>
  </si>
  <si>
    <t>⚠ شيك متأخر 9 يوم</t>
  </si>
  <si>
    <t>⚠ شيك متأخر 4 يوم</t>
  </si>
  <si>
    <t>⚠ شيك متأخر 1 يوم</t>
  </si>
  <si>
    <t>⚠ باقي 1 يوم</t>
  </si>
  <si>
    <t>⚠ باقي 8 يوم</t>
  </si>
  <si>
    <t>⚠ باقي 24 يوم</t>
  </si>
  <si>
    <t>⚠ باقي 26 يوم</t>
  </si>
  <si>
    <t>⚠ باقي 30 يوم</t>
  </si>
  <si>
    <t>24 يوم</t>
  </si>
  <si>
    <t>19 يوم</t>
  </si>
  <si>
    <t>16 يوم</t>
  </si>
  <si>
    <t>13 يوم</t>
  </si>
  <si>
    <t>4 أيام</t>
  </si>
  <si>
    <t>🔔 متبقي 3 أيام</t>
  </si>
  <si>
    <t>🔔 متبقي 7 أيام</t>
  </si>
  <si>
    <t>⚠ متأخر
30,070,351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</si>
</sst>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7" fillId="7" borderId="0" xfId="0" applyFont="1" applyFill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48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6">
        <v>46315</v>
      </c>
      <c r="E3" s="19" t="s">
        <v>12</v>
      </c>
      <c r="F3" s="19" t="s">
        <v>10</v>
      </c>
      <c r="G3" s="19" t="s">
        <v>132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6">
        <v>46320</v>
      </c>
      <c r="E4" s="19" t="s">
        <v>97</v>
      </c>
      <c r="F4" s="19" t="s">
        <v>10</v>
      </c>
      <c r="G4" s="19" t="s">
        <v>133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6">
        <v>46323</v>
      </c>
      <c r="E5" s="19" t="s">
        <v>98</v>
      </c>
      <c r="F5" s="19" t="s">
        <v>10</v>
      </c>
      <c r="G5" s="19" t="s">
        <v>134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6">
        <v>46325</v>
      </c>
      <c r="E6" s="19" t="s">
        <v>9</v>
      </c>
      <c r="F6" s="19" t="s">
        <v>10</v>
      </c>
      <c r="G6" s="19" t="s">
        <v>135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6">
        <v>46325</v>
      </c>
      <c r="E7" s="19" t="s">
        <v>9</v>
      </c>
      <c r="F7" s="19" t="s">
        <v>10</v>
      </c>
      <c r="G7" s="19" t="s">
        <v>135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6">
        <v>46332</v>
      </c>
      <c r="E8" s="19" t="s">
        <v>9</v>
      </c>
      <c r="F8" s="19" t="s">
        <v>10</v>
      </c>
      <c r="G8" s="19" t="s">
        <v>136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6">
        <v>46348</v>
      </c>
      <c r="E9" s="19"/>
      <c r="F9" s="19" t="s">
        <v>10</v>
      </c>
      <c r="G9" s="19" t="s">
        <v>137</v>
      </c>
      <c r="H9" s="19" t="s">
        <v>106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6">
        <v>46350</v>
      </c>
      <c r="E10" s="19" t="s">
        <v>12</v>
      </c>
      <c r="F10" s="19" t="s">
        <v>10</v>
      </c>
      <c r="G10" s="19" t="s">
        <v>138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6">
        <v>46351</v>
      </c>
      <c r="E11" s="19" t="s">
        <v>97</v>
      </c>
      <c r="F11" s="19" t="s">
        <v>10</v>
      </c>
      <c r="G11" s="19" t="s">
        <v>128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6">
        <v>46354</v>
      </c>
      <c r="E12" s="19" t="s">
        <v>12</v>
      </c>
      <c r="F12" s="19" t="s">
        <v>10</v>
      </c>
      <c r="G12" s="19" t="s">
        <v>139</v>
      </c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2"/>
  <sheetViews>
    <sheetView rightToLeft="1" workbookViewId="0">
      <selection activeCell="C6" sqref="C6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104</v>
      </c>
      <c r="B3" s="19">
        <v>77838207</v>
      </c>
      <c r="C3" s="32">
        <v>290000</v>
      </c>
      <c r="D3" s="20">
        <v>46342</v>
      </c>
      <c r="E3" s="19" t="s">
        <v>102</v>
      </c>
      <c r="F3" s="19" t="s">
        <v>103</v>
      </c>
      <c r="G3" s="19" t="str">
        <f t="shared" ref="G3:G16" ca="1" si="0">IF(D3="","",IF(D3&lt;TODAY(),"⛔ متأخر "&amp;TODAY()-D3&amp;" يوم",IF(D3=TODAY(),"🔔 مستحق اليوم","⚠ باقي "&amp;D3-TODAY()&amp;" يوم")))</f>
        <v>⚠ باقي 18 يوم</v>
      </c>
      <c r="H3" s="19"/>
      <c r="I3" s="19"/>
    </row>
    <row r="4" spans="1:9" x14ac:dyDescent="0.3">
      <c r="A4" s="19" t="s">
        <v>104</v>
      </c>
      <c r="B4" s="19">
        <v>77838208</v>
      </c>
      <c r="C4" s="32">
        <v>289000</v>
      </c>
      <c r="D4" s="20">
        <v>46372</v>
      </c>
      <c r="E4" s="19" t="s">
        <v>102</v>
      </c>
      <c r="F4" s="19" t="s">
        <v>103</v>
      </c>
      <c r="G4" s="19" t="str">
        <f t="shared" ca="1" si="0"/>
        <v>⚠ باقي 48 يوم</v>
      </c>
      <c r="H4" s="19"/>
      <c r="I4" s="19"/>
    </row>
    <row r="5" spans="1:9" x14ac:dyDescent="0.3">
      <c r="A5" s="19" t="s">
        <v>105</v>
      </c>
      <c r="B5" s="19">
        <v>77838188</v>
      </c>
      <c r="C5" s="32">
        <v>13281.81</v>
      </c>
      <c r="D5" s="20">
        <v>46336</v>
      </c>
      <c r="E5" s="19" t="s">
        <v>102</v>
      </c>
      <c r="F5" s="19" t="s">
        <v>103</v>
      </c>
      <c r="G5" s="19" t="str">
        <f t="shared" ca="1" si="0"/>
        <v>⚠ باقي 12 يوم</v>
      </c>
      <c r="H5" s="19"/>
      <c r="I5" s="19"/>
    </row>
    <row r="6" spans="1:9" x14ac:dyDescent="0.3">
      <c r="A6" s="19"/>
      <c r="B6" s="19"/>
      <c r="C6" s="32"/>
      <c r="D6" s="20"/>
      <c r="E6" s="19"/>
      <c r="F6" s="19"/>
      <c r="G6" s="19" t="str">
        <f t="shared" ca="1" si="0"/>
        <v/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120</v>
      </c>
      <c r="C2" s="51" t="s">
        <v>121</v>
      </c>
      <c r="D2" s="51" t="s">
        <v>89</v>
      </c>
      <c r="E2" s="51" t="s">
        <v>122</v>
      </c>
      <c r="F2" s="51" t="s">
        <v>87</v>
      </c>
      <c r="G2" s="51" t="s">
        <v>17</v>
      </c>
      <c r="H2" s="51" t="s">
        <v>18</v>
      </c>
      <c r="I2" s="51" t="s">
        <v>108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6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6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6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6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6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6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6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6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6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6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6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6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6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6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6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6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6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6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6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6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6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7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7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7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7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7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7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7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7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7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7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7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6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6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6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6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6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6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6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6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6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6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6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6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6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6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6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6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6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6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6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6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6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6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6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6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6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6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6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6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6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6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6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6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6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6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6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6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6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6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6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6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6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6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6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6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6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6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6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6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6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6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6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6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6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6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6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6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6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6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6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6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6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6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6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6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6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6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6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6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6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6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6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6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6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6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6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6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6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6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6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6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6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6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6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6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6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6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6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6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6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6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6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6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6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6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6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6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6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6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6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6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6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6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6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6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6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6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6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6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6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6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6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6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6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6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6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6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6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6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6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6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6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6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6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6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6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6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6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6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6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6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6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6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6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6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6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6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6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6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109</v>
      </c>
      <c r="F173" s="86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6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6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6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6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6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6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6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6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6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6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110</v>
      </c>
      <c r="F184" s="86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6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6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6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6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6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6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6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6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111</v>
      </c>
      <c r="F193" s="86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6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6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6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6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6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6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6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6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112</v>
      </c>
      <c r="F202" s="86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6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6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6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6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6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6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6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113</v>
      </c>
      <c r="F210" s="86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6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6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6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114</v>
      </c>
      <c r="F214" s="86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6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6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6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6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6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114</v>
      </c>
      <c r="F220" s="86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113</v>
      </c>
      <c r="F221" s="86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6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6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6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6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115</v>
      </c>
      <c r="F226" s="86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6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6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6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6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6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6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6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6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6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114</v>
      </c>
      <c r="F236" s="86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6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6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6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6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6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6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6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6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6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6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6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6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116</v>
      </c>
      <c r="F249" s="86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6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6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6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6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6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117</v>
      </c>
      <c r="F255" s="86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6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6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6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117</v>
      </c>
      <c r="F259" s="86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6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6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6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6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6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115</v>
      </c>
      <c r="F265" s="86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6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6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6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6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115</v>
      </c>
      <c r="F270" s="86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6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6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6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114</v>
      </c>
      <c r="F274" s="86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114</v>
      </c>
      <c r="F275" s="86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118</v>
      </c>
      <c r="F276" s="86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6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6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38500</v>
      </c>
      <c r="C279" s="32">
        <v>42500</v>
      </c>
      <c r="D279" s="31">
        <v>70</v>
      </c>
      <c r="F279" s="86">
        <v>46310</v>
      </c>
      <c r="G279" s="33">
        <v>402710.00000000006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114</v>
      </c>
      <c r="F280" s="86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6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6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119</v>
      </c>
      <c r="F283" s="86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6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4050</v>
      </c>
      <c r="C285" s="32">
        <v>4200</v>
      </c>
      <c r="D285" s="31">
        <v>72</v>
      </c>
      <c r="F285" s="86">
        <v>46313</v>
      </c>
      <c r="G285" s="33">
        <v>283500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4050</v>
      </c>
      <c r="C286" s="32">
        <v>4200</v>
      </c>
      <c r="D286" s="31">
        <v>72</v>
      </c>
      <c r="F286" s="86">
        <v>46313</v>
      </c>
      <c r="G286" s="33">
        <v>303750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115</v>
      </c>
      <c r="F287" s="86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6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6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6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zoomScale="98" zoomScaleNormal="98" workbookViewId="0">
      <selection activeCell="A19" sqref="A19:L36"/>
    </sheetView>
  </sheetViews>
  <sheetFormatPr defaultRowHeight="14.4" x14ac:dyDescent="0.3"/>
  <cols>
    <col min="1" max="1" width="12" customWidth="1"/>
    <col min="2" max="2" width="13.77734375" customWidth="1"/>
    <col min="3" max="3" width="16" hidden="1" customWidth="1"/>
    <col min="4" max="4" width="18.44140625" customWidth="1"/>
    <col min="5" max="5" width="12.109375" hidden="1" customWidth="1"/>
    <col min="6" max="6" width="20.88671875" customWidth="1"/>
    <col min="7" max="7" width="16.5546875" customWidth="1"/>
    <col min="8" max="8" width="14.88671875" customWidth="1"/>
    <col min="9" max="9" width="14.33203125" customWidth="1"/>
    <col min="10" max="10" width="18.886718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6" t="s">
        <v>88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</row>
    <row r="2" spans="1:12" ht="28.8" customHeight="1" x14ac:dyDescent="0.3">
      <c r="A2" s="36" t="s">
        <v>147</v>
      </c>
      <c r="B2" s="78" t="s">
        <v>125</v>
      </c>
      <c r="C2" s="79"/>
      <c r="D2" s="37" t="s">
        <v>127</v>
      </c>
      <c r="E2" s="38" t="s">
        <v>123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224616244.42777777</v>
      </c>
      <c r="I3" s="61">
        <v>63108707.320029244</v>
      </c>
      <c r="J3" s="61">
        <v>30070351.435818713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140</v>
      </c>
      <c r="L5" s="54" t="s">
        <v>107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22405748</v>
      </c>
      <c r="I6" s="55">
        <v>3866038.3157894723</v>
      </c>
      <c r="J6" s="55">
        <v>3866038.3157894723</v>
      </c>
      <c r="K6" s="57" t="s">
        <v>141</v>
      </c>
      <c r="L6" s="54" t="s">
        <v>107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142</v>
      </c>
      <c r="L7" s="54" t="s">
        <v>107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142</v>
      </c>
      <c r="L8" s="54" t="s">
        <v>107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0</v>
      </c>
      <c r="I9" s="55">
        <v>1164066</v>
      </c>
      <c r="J9" s="55">
        <v>1164066</v>
      </c>
      <c r="K9" s="57" t="s">
        <v>142</v>
      </c>
      <c r="L9" s="54" t="s">
        <v>107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129</v>
      </c>
      <c r="L10" s="54" t="s">
        <v>107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143</v>
      </c>
      <c r="L11" s="54" t="s">
        <v>107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130</v>
      </c>
      <c r="L12" s="54" t="s">
        <v>107</v>
      </c>
    </row>
    <row r="13" spans="1:12" ht="17.399999999999999" customHeight="1" x14ac:dyDescent="0.35">
      <c r="A13" s="65">
        <v>72</v>
      </c>
      <c r="B13" s="71" t="s">
        <v>99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130</v>
      </c>
      <c r="L13" s="54" t="s">
        <v>107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126</v>
      </c>
      <c r="L14" s="54" t="s">
        <v>107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124</v>
      </c>
      <c r="L15" s="54" t="s">
        <v>107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124</v>
      </c>
      <c r="L16" s="54" t="s">
        <v>107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144</v>
      </c>
      <c r="L17" s="54" t="s">
        <v>107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144</v>
      </c>
      <c r="L18" s="54" t="s">
        <v>107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144</v>
      </c>
      <c r="L19" s="54" t="s">
        <v>107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2266129</v>
      </c>
      <c r="I20" s="55">
        <v>21891</v>
      </c>
      <c r="J20" s="55">
        <v>21891</v>
      </c>
      <c r="K20" s="57" t="s">
        <v>131</v>
      </c>
      <c r="L20" s="54" t="s">
        <v>107</v>
      </c>
    </row>
    <row r="21" spans="1:12" ht="17.399999999999999" customHeight="1" x14ac:dyDescent="0.35">
      <c r="A21" s="45">
        <v>52</v>
      </c>
      <c r="B21" s="64" t="s">
        <v>99</v>
      </c>
      <c r="C21" s="67">
        <v>46297</v>
      </c>
      <c r="D21" s="68">
        <v>5384800</v>
      </c>
      <c r="E21" s="70" t="s">
        <v>82</v>
      </c>
      <c r="F21" s="67">
        <v>46327</v>
      </c>
      <c r="G21" s="68">
        <v>2599999.9999999991</v>
      </c>
      <c r="H21" s="68">
        <v>0</v>
      </c>
      <c r="I21" s="68">
        <v>2599999.9999999991</v>
      </c>
      <c r="J21" s="68">
        <v>0</v>
      </c>
      <c r="K21" s="69"/>
      <c r="L21" s="66" t="s">
        <v>145</v>
      </c>
    </row>
    <row r="22" spans="1:12" ht="17.399999999999999" customHeight="1" x14ac:dyDescent="0.35">
      <c r="A22" s="42">
        <v>55</v>
      </c>
      <c r="B22" s="73" t="s">
        <v>99</v>
      </c>
      <c r="C22" s="56">
        <v>46301</v>
      </c>
      <c r="D22" s="55">
        <v>4791465</v>
      </c>
      <c r="E22" s="54" t="s">
        <v>82</v>
      </c>
      <c r="F22" s="56">
        <v>46331</v>
      </c>
      <c r="G22" s="55">
        <v>2395732.5</v>
      </c>
      <c r="H22" s="55">
        <v>0</v>
      </c>
      <c r="I22" s="55">
        <v>2395732.5</v>
      </c>
      <c r="J22" s="55">
        <v>0</v>
      </c>
      <c r="K22" s="57"/>
      <c r="L22" s="54" t="s">
        <v>146</v>
      </c>
    </row>
    <row r="23" spans="1:12" ht="17.399999999999999" customHeight="1" x14ac:dyDescent="0.35">
      <c r="A23" s="48">
        <v>62</v>
      </c>
      <c r="B23" s="72" t="s">
        <v>11</v>
      </c>
      <c r="C23" s="56">
        <v>46307</v>
      </c>
      <c r="D23" s="55">
        <v>3795800</v>
      </c>
      <c r="E23" s="54" t="s">
        <v>82</v>
      </c>
      <c r="F23" s="56">
        <v>46337</v>
      </c>
      <c r="G23" s="55">
        <v>2846850</v>
      </c>
      <c r="H23" s="55">
        <v>0</v>
      </c>
      <c r="I23" s="55">
        <v>2846850</v>
      </c>
      <c r="J23" s="55">
        <v>0</v>
      </c>
      <c r="K23" s="57"/>
      <c r="L23" s="54" t="s">
        <v>85</v>
      </c>
    </row>
    <row r="24" spans="1:12" ht="17.399999999999999" customHeight="1" x14ac:dyDescent="0.35">
      <c r="A24" s="48">
        <v>63</v>
      </c>
      <c r="B24" s="73" t="s">
        <v>11</v>
      </c>
      <c r="C24" s="56">
        <v>46308</v>
      </c>
      <c r="D24" s="55">
        <v>7171484</v>
      </c>
      <c r="E24" s="54" t="s">
        <v>82</v>
      </c>
      <c r="F24" s="56">
        <v>46338</v>
      </c>
      <c r="G24" s="55">
        <v>5378613</v>
      </c>
      <c r="H24" s="55">
        <v>0</v>
      </c>
      <c r="I24" s="55">
        <v>5378613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64</v>
      </c>
      <c r="B25" s="72" t="s">
        <v>8</v>
      </c>
      <c r="C25" s="56">
        <v>46309</v>
      </c>
      <c r="D25" s="55">
        <v>1238264.4078947369</v>
      </c>
      <c r="E25" s="54" t="s">
        <v>82</v>
      </c>
      <c r="F25" s="56">
        <v>46340</v>
      </c>
      <c r="G25" s="55">
        <v>371479.32236842107</v>
      </c>
      <c r="H25" s="55">
        <v>0</v>
      </c>
      <c r="I25" s="55">
        <v>371479.32236842107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67</v>
      </c>
      <c r="B26" s="72" t="s">
        <v>8</v>
      </c>
      <c r="C26" s="56">
        <v>46309</v>
      </c>
      <c r="D26" s="55">
        <v>538140.19736842101</v>
      </c>
      <c r="E26" s="54" t="s">
        <v>82</v>
      </c>
      <c r="F26" s="56">
        <v>46340</v>
      </c>
      <c r="G26" s="55">
        <v>161442.05921052629</v>
      </c>
      <c r="H26" s="55">
        <v>0</v>
      </c>
      <c r="I26" s="55">
        <v>161442.05921052629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72</v>
      </c>
      <c r="B27" s="71" t="s">
        <v>99</v>
      </c>
      <c r="C27" s="56">
        <v>46313</v>
      </c>
      <c r="D27" s="55">
        <v>3053830</v>
      </c>
      <c r="E27" s="54" t="s">
        <v>82</v>
      </c>
      <c r="F27" s="56">
        <v>46344</v>
      </c>
      <c r="G27" s="55">
        <v>1526915</v>
      </c>
      <c r="H27" s="55">
        <v>0</v>
      </c>
      <c r="I27" s="55">
        <v>1526915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73</v>
      </c>
      <c r="B28" s="72" t="s">
        <v>8</v>
      </c>
      <c r="C28" s="56">
        <v>46314</v>
      </c>
      <c r="D28" s="55">
        <v>5926550.6491228072</v>
      </c>
      <c r="E28" s="54" t="s">
        <v>82</v>
      </c>
      <c r="F28" s="56">
        <v>46345</v>
      </c>
      <c r="G28" s="55">
        <v>1777965.1947368421</v>
      </c>
      <c r="H28" s="55">
        <v>0</v>
      </c>
      <c r="I28" s="55">
        <v>1777965.1947368421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49</v>
      </c>
      <c r="B29" s="70" t="s">
        <v>38</v>
      </c>
      <c r="C29" s="56">
        <v>46286</v>
      </c>
      <c r="D29" s="55">
        <v>1923110</v>
      </c>
      <c r="E29" s="54" t="s">
        <v>82</v>
      </c>
      <c r="F29" s="56">
        <v>46346</v>
      </c>
      <c r="G29" s="55">
        <v>1923110</v>
      </c>
      <c r="H29" s="55">
        <v>0</v>
      </c>
      <c r="I29" s="55">
        <v>1923110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57</v>
      </c>
      <c r="B30" s="72" t="s">
        <v>8</v>
      </c>
      <c r="C30" s="56">
        <v>46304</v>
      </c>
      <c r="D30" s="55">
        <v>12289987.052631579</v>
      </c>
      <c r="E30" s="54" t="s">
        <v>82</v>
      </c>
      <c r="F30" s="56">
        <v>46349</v>
      </c>
      <c r="G30" s="55">
        <v>3686996.1157894735</v>
      </c>
      <c r="H30" s="55">
        <v>0</v>
      </c>
      <c r="I30" s="55">
        <v>3686996.1157894735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51</v>
      </c>
      <c r="B31" s="71" t="s">
        <v>11</v>
      </c>
      <c r="C31" s="56">
        <v>46292</v>
      </c>
      <c r="D31" s="55">
        <v>4576040</v>
      </c>
      <c r="E31" s="54" t="s">
        <v>84</v>
      </c>
      <c r="F31" s="56">
        <v>46353</v>
      </c>
      <c r="G31" s="55">
        <v>2288020</v>
      </c>
      <c r="H31" s="55">
        <v>0</v>
      </c>
      <c r="I31" s="55">
        <v>2288020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64</v>
      </c>
      <c r="B32" s="72" t="s">
        <v>8</v>
      </c>
      <c r="C32" s="56">
        <v>46309</v>
      </c>
      <c r="D32" s="55">
        <v>1238264.4078947369</v>
      </c>
      <c r="E32" s="54" t="s">
        <v>84</v>
      </c>
      <c r="F32" s="56">
        <v>46370</v>
      </c>
      <c r="G32" s="55">
        <v>371479.32236842107</v>
      </c>
      <c r="H32" s="55">
        <v>0</v>
      </c>
      <c r="I32" s="55">
        <v>371479.32236842107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67</v>
      </c>
      <c r="B33" s="72" t="s">
        <v>8</v>
      </c>
      <c r="C33" s="56">
        <v>46309</v>
      </c>
      <c r="D33" s="55">
        <v>538140.19736842101</v>
      </c>
      <c r="E33" s="54" t="s">
        <v>84</v>
      </c>
      <c r="F33" s="56">
        <v>46370</v>
      </c>
      <c r="G33" s="55">
        <v>161442.05921052629</v>
      </c>
      <c r="H33" s="55">
        <v>0</v>
      </c>
      <c r="I33" s="55">
        <v>161442.05921052629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70</v>
      </c>
      <c r="B34" s="70" t="s">
        <v>100</v>
      </c>
      <c r="C34" s="56">
        <v>46310</v>
      </c>
      <c r="D34" s="55">
        <v>2083350</v>
      </c>
      <c r="E34" s="54" t="s">
        <v>82</v>
      </c>
      <c r="F34" s="56">
        <v>46370</v>
      </c>
      <c r="G34" s="55">
        <v>2083350</v>
      </c>
      <c r="H34" s="55">
        <v>0</v>
      </c>
      <c r="I34" s="55">
        <v>2083350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73</v>
      </c>
      <c r="B35" s="72" t="s">
        <v>8</v>
      </c>
      <c r="C35" s="56">
        <v>46314</v>
      </c>
      <c r="D35" s="55">
        <v>5926550.6491228072</v>
      </c>
      <c r="E35" s="54" t="s">
        <v>84</v>
      </c>
      <c r="F35" s="56">
        <v>46375</v>
      </c>
      <c r="G35" s="55">
        <v>1777965.1947368421</v>
      </c>
      <c r="H35" s="55">
        <v>0</v>
      </c>
      <c r="I35" s="55">
        <v>1777965.1947368421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57</v>
      </c>
      <c r="B36" s="72" t="s">
        <v>8</v>
      </c>
      <c r="C36" s="56">
        <v>46304</v>
      </c>
      <c r="D36" s="55">
        <v>12289987.052631579</v>
      </c>
      <c r="E36" s="54" t="s">
        <v>84</v>
      </c>
      <c r="F36" s="56">
        <v>46379</v>
      </c>
      <c r="G36" s="55">
        <v>3686996.1157894735</v>
      </c>
      <c r="H36" s="55">
        <v>0</v>
      </c>
      <c r="I36" s="55">
        <v>3686996.1157894735</v>
      </c>
      <c r="J36" s="55">
        <v>0</v>
      </c>
      <c r="K36" s="57"/>
      <c r="L36" s="54" t="s">
        <v>85</v>
      </c>
    </row>
    <row r="37" spans="1:12" ht="17.399999999999999" customHeight="1" x14ac:dyDescent="0.3"/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7" priority="37" operator="containsText" text="✓">
      <formula>NOT(ISERROR(SEARCH("✓",F2)))</formula>
    </cfRule>
  </conditionalFormatting>
  <conditionalFormatting sqref="F2">
    <cfRule type="containsText" dxfId="36" priority="38" operator="containsText" text="✗">
      <formula>NOT(ISERROR(SEARCH("✗",F2)))</formula>
    </cfRule>
  </conditionalFormatting>
  <conditionalFormatting sqref="L5">
    <cfRule type="containsText" dxfId="35" priority="31" operator="containsText" text="مسدّد">
      <formula>NOT(ISERROR(SEARCH("مسدّد",L5)))</formula>
    </cfRule>
  </conditionalFormatting>
  <conditionalFormatting sqref="L5">
    <cfRule type="containsText" dxfId="34" priority="32" operator="containsText" text="مستحق">
      <formula>NOT(ISERROR(SEARCH("مستحق",L5)))</formula>
    </cfRule>
  </conditionalFormatting>
  <conditionalFormatting sqref="L5">
    <cfRule type="containsText" dxfId="33" priority="33" operator="containsText" text="قريب">
      <formula>NOT(ISERROR(SEARCH("قريب",L5)))</formula>
    </cfRule>
  </conditionalFormatting>
  <conditionalFormatting sqref="L5">
    <cfRule type="containsText" dxfId="32" priority="34" operator="containsText" text="جار">
      <formula>NOT(ISERROR(SEARCH("جار",L5)))</formula>
    </cfRule>
  </conditionalFormatting>
  <conditionalFormatting sqref="L5">
    <cfRule type="containsText" dxfId="31" priority="35" operator="containsText" text="بدون">
      <formula>NOT(ISERROR(SEARCH("بدون",L5)))</formula>
    </cfRule>
  </conditionalFormatting>
  <conditionalFormatting sqref="J5">
    <cfRule type="cellIs" dxfId="30" priority="36" operator="greaterThan">
      <formula>0</formula>
    </cfRule>
  </conditionalFormatting>
  <conditionalFormatting sqref="L6">
    <cfRule type="containsText" dxfId="29" priority="25" operator="containsText" text="مسدّد">
      <formula>NOT(ISERROR(SEARCH("مسدّد",L6)))</formula>
    </cfRule>
  </conditionalFormatting>
  <conditionalFormatting sqref="L6">
    <cfRule type="containsText" dxfId="28" priority="26" operator="containsText" text="مستحق">
      <formula>NOT(ISERROR(SEARCH("مستحق",L6)))</formula>
    </cfRule>
  </conditionalFormatting>
  <conditionalFormatting sqref="L6">
    <cfRule type="containsText" dxfId="27" priority="27" operator="containsText" text="قريب">
      <formula>NOT(ISERROR(SEARCH("قريب",L6)))</formula>
    </cfRule>
  </conditionalFormatting>
  <conditionalFormatting sqref="L6">
    <cfRule type="containsText" dxfId="26" priority="28" operator="containsText" text="جار">
      <formula>NOT(ISERROR(SEARCH("جار",L6)))</formula>
    </cfRule>
  </conditionalFormatting>
  <conditionalFormatting sqref="L6">
    <cfRule type="containsText" dxfId="25" priority="29" operator="containsText" text="بدون">
      <formula>NOT(ISERROR(SEARCH("بدون",L6)))</formula>
    </cfRule>
  </conditionalFormatting>
  <conditionalFormatting sqref="J6">
    <cfRule type="cellIs" dxfId="24" priority="30" operator="greaterThan">
      <formula>0</formula>
    </cfRule>
  </conditionalFormatting>
  <conditionalFormatting sqref="L7:L10">
    <cfRule type="containsText" dxfId="23" priority="19" operator="containsText" text="مسدّد">
      <formula>NOT(ISERROR(SEARCH("مسدّد",L7)))</formula>
    </cfRule>
  </conditionalFormatting>
  <conditionalFormatting sqref="L7:L10">
    <cfRule type="containsText" dxfId="22" priority="20" operator="containsText" text="مستحق">
      <formula>NOT(ISERROR(SEARCH("مستحق",L7)))</formula>
    </cfRule>
  </conditionalFormatting>
  <conditionalFormatting sqref="L7:L10">
    <cfRule type="containsText" dxfId="21" priority="21" operator="containsText" text="قريب">
      <formula>NOT(ISERROR(SEARCH("قريب",L7)))</formula>
    </cfRule>
  </conditionalFormatting>
  <conditionalFormatting sqref="L7:L10">
    <cfRule type="containsText" dxfId="20" priority="22" operator="containsText" text="جار">
      <formula>NOT(ISERROR(SEARCH("جار",L7)))</formula>
    </cfRule>
  </conditionalFormatting>
  <conditionalFormatting sqref="L7:L10">
    <cfRule type="containsText" dxfId="19" priority="23" operator="containsText" text="بدون">
      <formula>NOT(ISERROR(SEARCH("بدون",L7)))</formula>
    </cfRule>
  </conditionalFormatting>
  <conditionalFormatting sqref="J7:J10">
    <cfRule type="cellIs" dxfId="18" priority="24" operator="greaterThan">
      <formula>0</formula>
    </cfRule>
  </conditionalFormatting>
  <conditionalFormatting sqref="L11:L16">
    <cfRule type="containsText" dxfId="17" priority="13" operator="containsText" text="مسدّد">
      <formula>NOT(ISERROR(SEARCH("مسدّد",L11)))</formula>
    </cfRule>
  </conditionalFormatting>
  <conditionalFormatting sqref="L11:L16">
    <cfRule type="containsText" dxfId="16" priority="14" operator="containsText" text="مستحق">
      <formula>NOT(ISERROR(SEARCH("مستحق",L11)))</formula>
    </cfRule>
  </conditionalFormatting>
  <conditionalFormatting sqref="L11:L16">
    <cfRule type="containsText" dxfId="15" priority="15" operator="containsText" text="قريب">
      <formula>NOT(ISERROR(SEARCH("قريب",L11)))</formula>
    </cfRule>
  </conditionalFormatting>
  <conditionalFormatting sqref="L11:L16">
    <cfRule type="containsText" dxfId="14" priority="16" operator="containsText" text="جار">
      <formula>NOT(ISERROR(SEARCH("جار",L11)))</formula>
    </cfRule>
  </conditionalFormatting>
  <conditionalFormatting sqref="L11:L16">
    <cfRule type="containsText" dxfId="13" priority="17" operator="containsText" text="بدون">
      <formula>NOT(ISERROR(SEARCH("بدون",L11)))</formula>
    </cfRule>
  </conditionalFormatting>
  <conditionalFormatting sqref="J11:J16">
    <cfRule type="cellIs" dxfId="12" priority="18" operator="greaterThan">
      <formula>0</formula>
    </cfRule>
  </conditionalFormatting>
  <conditionalFormatting sqref="L17:L18">
    <cfRule type="containsText" dxfId="11" priority="7" operator="containsText" text="مسدّد">
      <formula>NOT(ISERROR(SEARCH("مسدّد",L17)))</formula>
    </cfRule>
  </conditionalFormatting>
  <conditionalFormatting sqref="L17:L18">
    <cfRule type="containsText" dxfId="10" priority="8" operator="containsText" text="مستحق">
      <formula>NOT(ISERROR(SEARCH("مستحق",L17)))</formula>
    </cfRule>
  </conditionalFormatting>
  <conditionalFormatting sqref="L17:L18">
    <cfRule type="containsText" dxfId="9" priority="9" operator="containsText" text="قريب">
      <formula>NOT(ISERROR(SEARCH("قريب",L17)))</formula>
    </cfRule>
  </conditionalFormatting>
  <conditionalFormatting sqref="L17:L18">
    <cfRule type="containsText" dxfId="8" priority="10" operator="containsText" text="جار">
      <formula>NOT(ISERROR(SEARCH("جار",L17)))</formula>
    </cfRule>
  </conditionalFormatting>
  <conditionalFormatting sqref="L17:L18">
    <cfRule type="containsText" dxfId="7" priority="11" operator="containsText" text="بدون">
      <formula>NOT(ISERROR(SEARCH("بدون",L17)))</formula>
    </cfRule>
  </conditionalFormatting>
  <conditionalFormatting sqref="J17:J18">
    <cfRule type="cellIs" dxfId="6" priority="12" operator="greaterThan">
      <formula>0</formula>
    </cfRule>
  </conditionalFormatting>
  <conditionalFormatting sqref="L19:L36">
    <cfRule type="containsText" dxfId="5" priority="1" operator="containsText" text="مسدّد">
      <formula>NOT(ISERROR(SEARCH("مسدّد",L19)))</formula>
    </cfRule>
  </conditionalFormatting>
  <conditionalFormatting sqref="L19:L36">
    <cfRule type="containsText" dxfId="4" priority="2" operator="containsText" text="مستحق">
      <formula>NOT(ISERROR(SEARCH("مستحق",L19)))</formula>
    </cfRule>
  </conditionalFormatting>
  <conditionalFormatting sqref="L19:L36">
    <cfRule type="containsText" dxfId="3" priority="3" operator="containsText" text="قريب">
      <formula>NOT(ISERROR(SEARCH("قريب",L19)))</formula>
    </cfRule>
  </conditionalFormatting>
  <conditionalFormatting sqref="L19:L36">
    <cfRule type="containsText" dxfId="2" priority="4" operator="containsText" text="جار">
      <formula>NOT(ISERROR(SEARCH("جار",L19)))</formula>
    </cfRule>
  </conditionalFormatting>
  <conditionalFormatting sqref="L19:L36">
    <cfRule type="containsText" dxfId="1" priority="5" operator="containsText" text="بدون">
      <formula>NOT(ISERROR(SEARCH("بدون",L19)))</formula>
    </cfRule>
  </conditionalFormatting>
  <conditionalFormatting sqref="J19:J36">
    <cfRule type="cellIs" dxfId="0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80" t="s">
        <v>40</v>
      </c>
      <c r="B1" s="81"/>
      <c r="C1" s="81"/>
      <c r="I1" s="84" t="s">
        <v>41</v>
      </c>
      <c r="J1" s="85"/>
      <c r="K1" s="85"/>
    </row>
    <row r="2" spans="1:11" ht="15.6" x14ac:dyDescent="0.3">
      <c r="A2" s="2" t="s">
        <v>42</v>
      </c>
      <c r="B2" s="82">
        <f>SUM(B4:B3000)-SUM(C4:C3000)</f>
        <v>54667971.877807066</v>
      </c>
      <c r="C2" s="83"/>
      <c r="I2" s="3" t="s">
        <v>42</v>
      </c>
      <c r="J2" s="82">
        <f>SUM(J4:J3000)-SUM(K4:K3000)</f>
        <v>-70822606</v>
      </c>
      <c r="K2" s="83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70822606</v>
      </c>
    </row>
    <row r="5" spans="1:11" ht="18" customHeight="1" x14ac:dyDescent="0.35">
      <c r="A5" s="6" t="s">
        <v>15</v>
      </c>
      <c r="B5" s="7">
        <v>0</v>
      </c>
      <c r="C5" s="7">
        <v>8405715.9071929809</v>
      </c>
    </row>
    <row r="6" spans="1:11" ht="18" customHeight="1" x14ac:dyDescent="0.35">
      <c r="A6" s="6" t="s">
        <v>8</v>
      </c>
      <c r="B6" s="7">
        <v>34462280.282894775</v>
      </c>
      <c r="C6" s="7">
        <v>0</v>
      </c>
    </row>
    <row r="7" spans="1:11" ht="18" customHeight="1" x14ac:dyDescent="0.35">
      <c r="A7" s="6" t="s">
        <v>11</v>
      </c>
      <c r="B7" s="7">
        <v>18072298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topLeftCell="A34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5" t="s">
        <v>69</v>
      </c>
      <c r="B1" s="75"/>
      <c r="C1" s="75"/>
      <c r="D1" s="75"/>
    </row>
    <row r="2" spans="1:4" x14ac:dyDescent="0.3">
      <c r="A2" s="21" t="s">
        <v>70</v>
      </c>
      <c r="B2" s="22">
        <v>16</v>
      </c>
      <c r="C2" s="23">
        <v>30070351.435818713</v>
      </c>
      <c r="D2" s="24">
        <v>11.8125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18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15</v>
      </c>
    </row>
    <row r="6" spans="1:4" x14ac:dyDescent="0.3">
      <c r="A6" s="29" t="s">
        <v>8</v>
      </c>
      <c r="B6" s="26">
        <v>8</v>
      </c>
      <c r="C6" s="27">
        <v>22466515.935818713</v>
      </c>
      <c r="D6" s="28">
        <v>10.5</v>
      </c>
    </row>
    <row r="7" spans="1:4" x14ac:dyDescent="0.3">
      <c r="A7" s="29" t="s">
        <v>11</v>
      </c>
      <c r="B7" s="26">
        <v>5</v>
      </c>
      <c r="C7" s="27">
        <v>7558815</v>
      </c>
      <c r="D7" s="28">
        <v>10.80000000000291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88mwzxEmFdw3nUZUsiszCa+XUlIWlMqcjcCcsJM/MOrkYHg1FaKbjFqyqiwy0CPbHI27L84thnz1VsA6quexgA==" saltValue="p6gM2NS5uOCjMscE/SHsOg==" spinCount="100000" sheet="1" objects="1" scenarios="1"/>
  <mergeCells count="1">
    <mergeCell ref="A1:D1"/>
  </mergeCells>
  <conditionalFormatting sqref="A4:D20">
    <cfRule type="expression" dxfId="38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2026-10-29T16:53:02Z</dcterms:modified>
</cp:coreProperties>
</file>