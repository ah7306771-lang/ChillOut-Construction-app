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283359E-76B3-42E7-BD41-B47DD101E4AE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<sst xmlns="http://schemas.openxmlformats.org/spreadsheetml/2006/main" count="833" uniqueCount="145">
  <si>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</si>
  <si>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</si>
  <si>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</si>
  <si>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</si>
  <si>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</si>
  <si>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</si>
  <si>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</si>
  <si>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</si>
  <si>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</si>
  <si>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</si>
  <si>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</si>
  <si>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</si>
  <si>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</si>
  <si>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</si>
  <si>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</si>
  <si>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</si>
  <si>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</si>
  <si>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</si>
  <si>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</si>
  <si>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</si>
  <si>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</si>
  <si>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</si>
  <si>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</si>
  <si>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</si>
  <si>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</si>
  <si>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</si>
  <si>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</si>
  <si>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</si>
  <si>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</si>
  <si>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</si>
  <si>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</si>
  <si>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</si>
  <si>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</si>
  <si>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</si>
  <si>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</si>
  <si>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</si>
  <si>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</si>
  <si>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</si>
  <si>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</si>
  <si>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</si>
  <si>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</si>
  <si>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</si>
  <si>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</si>
  <si>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</si>
  <si>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</si>
  <si>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</si>
  <si>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</si>
  <si>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</si>
  <si>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</si>
  <si>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</si>
  <si>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</si>
  <si>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</si>
  <si>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</si>
  <si>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</si>
  <si>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</si>
  <si>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</si>
  <si>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</si>
  <si>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</si>
  <si>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</si>
  <si>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</si>
  <si>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</si>
  <si>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</si>
  <si>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</si>
  <si>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</si>
  <si>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</si>
  <si>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</si>
  <si>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</si>
  <si>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</si>
  <si>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</si>
  <si>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</si>
  <si>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</si>
  <si>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</si>
  <si>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</si>
  <si>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</si>
  <si>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</si>
  <si>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</si>
  <si>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</si>
  <si>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</si>
  <si>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</si>
  <si>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</si>
  <si>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</si>
  <si>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</si>
  <si>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</si>
  <si>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</si>
  <si>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</si>
  <si>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</si>
  <si>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</si>
  <si>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</si>
  <si>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</si>
  <si>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</si>
  <si>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</si>
  <si>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</si>
  <si>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</si>
  <si>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</si>
  <si>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</si>
  <si>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</si>
  <si>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</si>
  <si>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</si>
  <si>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</si>
  <si>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</si>
  <si>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</si>
  <si>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</si>
  <si>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</si>
  <si>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</si>
  <si>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</si>
  <si>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</si>
  <si>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</si>
  <si>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</si>
  <si>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</si>
  <si>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</si>
  <si>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</si>
  <si>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</si>
  <si>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</si>
  <si>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</si>
  <si>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</si>
  <si>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</si>
  <si>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</si>
  <si>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20 يوم</t>
  </si>
  <si>
    <t>⚠ باقي 19 يوم</t>
  </si>
  <si>
    <t>⚠ باقي 50 يوم</t>
  </si>
  <si>
    <t>🔔 قريب</t>
  </si>
  <si>
    <t>✅ مسدّد
125,998,189</t>
  </si>
  <si>
    <t>كاش 100 %</t>
  </si>
  <si>
    <t>⚠ شيك متأخر 47 يوم</t>
  </si>
  <si>
    <t>⚠ شيك متأخر 16 يوم</t>
  </si>
  <si>
    <t>⚠ شيك متأخر 10 يوم</t>
  </si>
  <si>
    <t>⚠ مستحق النهاردة</t>
  </si>
  <si>
    <t>⚠ باقي 4 يوم</t>
  </si>
  <si>
    <t>⚠ باقي 11 يوم</t>
  </si>
  <si>
    <t>⚠ باقي 14 يوم</t>
  </si>
  <si>
    <t>⚠ باقي 16 يوم</t>
  </si>
  <si>
    <t>⚠ باقي 18 يوم</t>
  </si>
  <si>
    <t>⚠ باقي 22 يوم</t>
  </si>
  <si>
    <t>⚠ باقي 49 يوم</t>
  </si>
  <si>
    <t>⚠ باقي 53 يوم</t>
  </si>
  <si>
    <t>⚠ باقي 24 يوم</t>
  </si>
  <si>
    <t>🔔 قريب الاستحقاق
10,539,762</t>
  </si>
  <si>
    <t>🟢 جارٍ
52,966,313</t>
  </si>
  <si>
    <t>48 يوم</t>
  </si>
  <si>
    <t>42 يوم</t>
  </si>
  <si>
    <t>17 يوم</t>
  </si>
  <si>
    <t>14 يوم</t>
  </si>
  <si>
    <t>يوم واحد</t>
  </si>
  <si>
    <t>🔔 متبقي 4 أيام</t>
  </si>
  <si>
    <t>⚠ متأخر
11,821,924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</si>
</sst>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17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123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124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125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126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127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128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130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129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131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133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134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135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135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1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C225" s="34">
        <v>41700</v>
      </c>
      <c r="D225" s="33">
        <v>53</v>
      </c>
      <c r="E225" s="19" t="s">
        <v>122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C226" s="34">
        <v>41700</v>
      </c>
      <c r="D226" s="33">
        <v>53</v>
      </c>
      <c r="E226" s="19" t="s">
        <v>122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C227" s="34">
        <v>41700</v>
      </c>
      <c r="D227" s="33">
        <v>53</v>
      </c>
      <c r="E227" s="19" t="s">
        <v>122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C228" s="34">
        <v>41700</v>
      </c>
      <c r="D228" s="33">
        <v>53</v>
      </c>
      <c r="E228" s="19" t="s">
        <v>122</v>
      </c>
      <c r="F228" s="74"/>
      <c r="G228" s="36">
        <v>0</v>
      </c>
      <c r="H228" s="36">
        <v>0</v>
      </c>
    </row>
    <row r="229" spans="1:8" x14ac:dyDescent="0.3">
      <c r="A229" s="19" t="s">
        <v>11</v>
      </c>
      <c r="C229" s="34">
        <v>41700</v>
      </c>
      <c r="D229" s="33">
        <v>53</v>
      </c>
      <c r="E229" s="19" t="s">
        <v>122</v>
      </c>
      <c r="F229" s="74"/>
      <c r="G229" s="36">
        <v>0</v>
      </c>
      <c r="H229" s="36">
        <v>0</v>
      </c>
    </row>
    <row r="230" spans="1:8" x14ac:dyDescent="0.3">
      <c r="A230" s="19" t="s">
        <v>11</v>
      </c>
      <c r="C230" s="34">
        <v>41700</v>
      </c>
      <c r="D230" s="33">
        <v>53</v>
      </c>
      <c r="E230" s="19" t="s">
        <v>122</v>
      </c>
      <c r="F230" s="74"/>
      <c r="G230" s="36">
        <v>0</v>
      </c>
      <c r="H230" s="36">
        <v>0</v>
      </c>
    </row>
    <row r="231" spans="1:8" x14ac:dyDescent="0.3">
      <c r="A231" s="19" t="s">
        <v>11</v>
      </c>
      <c r="C231" s="34">
        <v>39650</v>
      </c>
      <c r="D231" s="33">
        <v>54</v>
      </c>
      <c r="E231" s="19" t="s">
        <v>122</v>
      </c>
      <c r="F231" s="74"/>
      <c r="G231" s="36">
        <v>0</v>
      </c>
      <c r="H231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3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136</v>
      </c>
      <c r="C2" s="66"/>
      <c r="D2" s="49" t="s">
        <v>121</v>
      </c>
      <c r="E2" s="50" t="s">
        <v>137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134754806.93614033</v>
      </c>
      <c r="I3" s="41">
        <v>75327998.778771937</v>
      </c>
      <c r="J3" s="41">
        <v>11821923.5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138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139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140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1749694</v>
      </c>
      <c r="I8" s="46">
        <v>2166022</v>
      </c>
      <c r="J8" s="46">
        <v>2166022</v>
      </c>
      <c r="K8" s="47" t="s">
        <v>141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7857894</v>
      </c>
      <c r="K9" s="47" t="s">
        <v>142</v>
      </c>
      <c r="L9" s="44" t="s">
        <v>92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143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120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120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74259041.734912291</v>
      </c>
      <c r="C2" s="70"/>
      <c r="I2" s="3" t="s">
        <v>51</v>
      </c>
      <c r="J2" s="69">
        <f>SUM(J4:J3000)-SUM(K4:K3000)</f>
        <v>-75164535.5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75164535.5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10175280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11821923.5</v>
      </c>
      <c r="D2" s="24">
        <v>24.4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4</v>
      </c>
      <c r="C4" s="28">
        <v>9655901.5</v>
      </c>
      <c r="D4" s="29">
        <v>27</v>
      </c>
    </row>
    <row r="5" spans="1:4" x14ac:dyDescent="0.3">
      <c r="A5" s="30" t="s">
        <v>11</v>
      </c>
      <c r="B5" s="27">
        <v>1</v>
      </c>
      <c r="C5" s="28">
        <v>2166022</v>
      </c>
      <c r="D5" s="29">
        <v>14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m/a5+DH8FYhHHZ39tIIcYMxl/K5b8+6XeJKHvl0ue6iPt7TFqfThy39pkwriHHF8kWfGcY0mhNcKTklBNXv8zA==" saltValue="oqh9SU56tXRr/FwrD0+R3w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2026-10-06T07:41:37Z</dcterms:modified>
</cp:coreProperties>
</file>