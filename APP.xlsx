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F87EA5C-CBB9-4F03-AC10-D6582DB14D4D}" xr6:coauthVersionLast="47" xr6:coauthVersionMax="47" xr10:uidLastSave="{00000000-0000-0000-0000-000000000000}"/>
  <bookViews>
    <workbookView xWindow="5580" yWindow="3252" windowWidth="12504" windowHeight="8964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<sst xmlns="http://schemas.openxmlformats.org/spreadsheetml/2006/main" count="940" uniqueCount="146">
  <si>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</si>
  <si>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</si>
  <si>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</si>
  <si>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</si>
  <si>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</si>
  <si>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</si>
  <si>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</si>
  <si>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</si>
  <si>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</si>
  <si>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</si>
  <si>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</si>
  <si>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</si>
  <si>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</si>
  <si>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</si>
  <si>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</si>
  <si>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</si>
  <si>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</si>
  <si>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</si>
  <si>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</si>
  <si>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</si>
  <si>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</si>
  <si>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</si>
  <si>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</si>
  <si>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</si>
  <si>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</si>
  <si>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</si>
  <si>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</si>
  <si>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</si>
  <si>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</si>
  <si>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</si>
  <si>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</si>
  <si>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</si>
  <si>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</si>
  <si>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</si>
  <si>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</si>
  <si>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</si>
  <si>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</si>
  <si>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</si>
  <si>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</si>
  <si>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</si>
  <si>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</si>
  <si>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</si>
  <si>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</si>
  <si>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</si>
  <si>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</si>
  <si>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</si>
  <si>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</si>
  <si>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</si>
  <si>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</si>
  <si>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</si>
  <si>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</si>
  <si>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</si>
  <si>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</si>
  <si>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</si>
  <si>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</si>
  <si>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</si>
  <si>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</si>
  <si>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</si>
  <si>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</si>
  <si>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</si>
  <si>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</si>
  <si>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</si>
  <si>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</si>
  <si>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</si>
  <si>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</si>
  <si>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</si>
  <si>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</si>
  <si>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</si>
  <si>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</si>
  <si>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</si>
  <si>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</si>
  <si>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</si>
  <si>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</si>
  <si>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</si>
  <si>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</si>
  <si>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</si>
  <si>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</si>
  <si>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</si>
  <si>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</si>
  <si>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</si>
  <si>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</si>
  <si>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</si>
  <si>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</si>
  <si>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</si>
  <si>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</si>
  <si>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</si>
  <si>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</si>
  <si>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</si>
  <si>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</si>
  <si>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</si>
  <si>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</si>
  <si>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</si>
  <si>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</si>
  <si>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</si>
  <si>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</si>
  <si>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</si>
  <si>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</si>
  <si>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</si>
  <si>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</si>
  <si>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</si>
  <si>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</si>
  <si>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</si>
  <si>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</si>
  <si>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</si>
  <si>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</si>
  <si>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</si>
  <si>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</si>
  <si>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</si>
  <si>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</si>
  <si>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</si>
  <si>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</si>
  <si>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</si>
  <si>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</si>
  <si>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</si>
  <si>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</si>
  <si>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</si>
  <si>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11 يوم</t>
  </si>
  <si>
    <t>3 أيام</t>
  </si>
  <si>
    <t>🔔 متبقي 6 أيام</t>
  </si>
  <si>
    <t>100% كاش</t>
  </si>
  <si>
    <t>متبقي منه 683,850</t>
  </si>
  <si>
    <t>⚠ باقي 10 يوم</t>
  </si>
  <si>
    <t>⚠ باقي 41 يوم</t>
  </si>
  <si>
    <t>7 أيام</t>
  </si>
  <si>
    <t>4 أيام</t>
  </si>
  <si>
    <t>🔔 متبقي يوم واحد</t>
  </si>
  <si>
    <t>🔔 متبقي 5 أيام</t>
  </si>
  <si>
    <t>يومان</t>
  </si>
  <si>
    <t>✅ مسدّد
149,297,488</t>
  </si>
  <si>
    <t>🟢 جارٍ
48,351,386</t>
  </si>
  <si>
    <t>يوم واحد</t>
  </si>
  <si>
    <t>⚠ شيك متأخر 25 يوم</t>
  </si>
  <si>
    <t>⚠ باقي 2 يوم</t>
  </si>
  <si>
    <t>⚠ باقي 5 يوم</t>
  </si>
  <si>
    <t>⚠ باقي 7 يوم</t>
  </si>
  <si>
    <t>⚠ باقي 9 يوم</t>
  </si>
  <si>
    <t>⚠ باقي 13 يوم</t>
  </si>
  <si>
    <t>⚠ باقي 40 يوم</t>
  </si>
  <si>
    <t>⚠ باقي 44 يوم</t>
  </si>
  <si>
    <t>⚠ باقي 15 يوم</t>
  </si>
  <si>
    <t>⚠ متأخر
38,882,475</t>
  </si>
  <si>
    <t>🔔 قريب الاستحقاق
27,517,029</t>
  </si>
  <si>
    <t>10 أيام</t>
  </si>
  <si>
    <t>8 أيام</t>
  </si>
  <si>
    <t>5 أيام</t>
  </si>
  <si>
    <t>🔔 متبقي 4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</si>
</sst>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0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1">
        <v>46285</v>
      </c>
      <c r="E3" s="19" t="s">
        <v>9</v>
      </c>
      <c r="F3" s="19" t="s">
        <v>10</v>
      </c>
      <c r="G3" s="19" t="s">
        <v>131</v>
      </c>
      <c r="H3" s="19" t="s">
        <v>120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81">
        <v>46312</v>
      </c>
      <c r="E4" s="19" t="s">
        <v>14</v>
      </c>
      <c r="F4" s="19" t="s">
        <v>10</v>
      </c>
      <c r="G4" s="19" t="s">
        <v>132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81">
        <v>46315</v>
      </c>
      <c r="E5" s="19" t="s">
        <v>9</v>
      </c>
      <c r="F5" s="19" t="s">
        <v>10</v>
      </c>
      <c r="G5" s="19" t="s">
        <v>133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81">
        <v>46317</v>
      </c>
      <c r="E6" s="19" t="s">
        <v>16</v>
      </c>
      <c r="F6" s="19" t="s">
        <v>10</v>
      </c>
      <c r="G6" s="19" t="s">
        <v>134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81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81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81">
        <v>46315</v>
      </c>
      <c r="E9" s="19" t="s">
        <v>12</v>
      </c>
      <c r="F9" s="19" t="s">
        <v>10</v>
      </c>
      <c r="G9" s="19" t="s">
        <v>133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81">
        <v>46319</v>
      </c>
      <c r="E10" s="19" t="s">
        <v>12</v>
      </c>
      <c r="F10" s="19" t="s">
        <v>10</v>
      </c>
      <c r="G10" s="19" t="s">
        <v>135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81">
        <v>46320</v>
      </c>
      <c r="E11" s="19" t="s">
        <v>109</v>
      </c>
      <c r="F11" s="19" t="s">
        <v>10</v>
      </c>
      <c r="G11" s="19" t="s">
        <v>121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81">
        <v>46323</v>
      </c>
      <c r="E12" s="19" t="s">
        <v>110</v>
      </c>
      <c r="F12" s="19" t="s">
        <v>10</v>
      </c>
      <c r="G12" s="19" t="s">
        <v>136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81">
        <v>46350</v>
      </c>
      <c r="E13" s="19" t="s">
        <v>12</v>
      </c>
      <c r="F13" s="19" t="s">
        <v>10</v>
      </c>
      <c r="G13" s="19" t="s">
        <v>137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81">
        <v>46351</v>
      </c>
      <c r="E14" s="19" t="s">
        <v>109</v>
      </c>
      <c r="F14" s="19" t="s">
        <v>10</v>
      </c>
      <c r="G14" s="19" t="s">
        <v>122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81">
        <v>46354</v>
      </c>
      <c r="E15" s="19" t="s">
        <v>12</v>
      </c>
      <c r="F15" s="19" t="s">
        <v>10</v>
      </c>
      <c r="G15" s="19" t="s">
        <v>138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81">
        <v>46325</v>
      </c>
      <c r="E16" s="19" t="s">
        <v>9</v>
      </c>
      <c r="F16" s="19" t="s">
        <v>10</v>
      </c>
      <c r="G16" s="19" t="s">
        <v>139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81">
        <v>46325</v>
      </c>
      <c r="E17" s="19" t="s">
        <v>9</v>
      </c>
      <c r="F17" s="19" t="s">
        <v>10</v>
      </c>
      <c r="G17" s="19" t="s">
        <v>139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5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1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1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1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1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1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1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1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1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1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1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1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1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1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1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1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1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1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1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1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1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1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2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2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2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2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2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2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2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2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2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2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2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1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1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1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1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1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1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1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1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1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1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1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1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1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1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1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1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1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1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1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1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1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1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1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1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1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1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1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1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1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1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1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1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1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1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1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1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1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1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1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1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1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1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1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1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1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1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1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1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1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1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1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1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1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1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1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1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1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1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1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1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1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1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1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1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1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1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1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1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1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1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1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1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1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1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1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1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1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1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1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1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1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1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1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1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1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1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1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1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1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1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1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1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1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1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1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1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1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1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1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1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1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1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1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1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1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1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1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1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1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1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1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1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1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1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1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1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1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1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1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1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1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1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1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1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1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1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1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1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1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1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1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1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1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1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1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1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1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1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1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1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1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1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1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1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1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1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1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1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1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1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1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1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1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1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1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1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1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1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1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1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1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1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1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1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1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1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1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1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1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1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1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1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1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1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1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1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1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1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81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81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81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81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81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81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81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81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81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81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81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81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81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81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81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81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81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81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81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81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81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81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81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81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81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81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81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81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81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81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81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81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81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81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81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81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81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81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81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81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81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81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81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81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81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81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81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119</v>
      </c>
      <c r="F260" s="81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119</v>
      </c>
      <c r="F261" s="81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119</v>
      </c>
      <c r="F262" s="81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119</v>
      </c>
      <c r="F263" s="81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119</v>
      </c>
      <c r="F264" s="81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119</v>
      </c>
      <c r="F265" s="81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1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1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1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1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1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81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81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81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81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81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C276" s="32">
        <v>40500</v>
      </c>
      <c r="D276" s="31">
        <v>64</v>
      </c>
      <c r="F276" s="81">
        <v>46309</v>
      </c>
      <c r="G276" s="34">
        <v>0</v>
      </c>
      <c r="H276" s="34">
        <v>123930</v>
      </c>
    </row>
    <row r="277" spans="1:8" x14ac:dyDescent="0.3">
      <c r="A277" s="19" t="s">
        <v>8</v>
      </c>
      <c r="C277" s="32">
        <v>40500</v>
      </c>
      <c r="D277" s="31">
        <v>64</v>
      </c>
      <c r="F277" s="81">
        <v>46309</v>
      </c>
      <c r="G277" s="34">
        <v>0</v>
      </c>
      <c r="H277" s="34">
        <v>486202.50000000006</v>
      </c>
    </row>
    <row r="278" spans="1:8" x14ac:dyDescent="0.3">
      <c r="A278" s="19" t="s">
        <v>8</v>
      </c>
      <c r="C278" s="32">
        <v>40500</v>
      </c>
      <c r="D278" s="31">
        <v>64</v>
      </c>
      <c r="F278" s="81">
        <v>46309</v>
      </c>
      <c r="G278" s="34">
        <v>0</v>
      </c>
      <c r="H278" s="34">
        <v>159367.5</v>
      </c>
    </row>
    <row r="279" spans="1:8" x14ac:dyDescent="0.3">
      <c r="A279" s="19" t="s">
        <v>8</v>
      </c>
      <c r="C279" s="32">
        <v>40500</v>
      </c>
      <c r="D279" s="31">
        <v>64</v>
      </c>
      <c r="F279" s="81">
        <v>46309</v>
      </c>
      <c r="G279" s="34">
        <v>0</v>
      </c>
      <c r="H279" s="34">
        <v>398317.50000000006</v>
      </c>
    </row>
    <row r="280" spans="1:8" x14ac:dyDescent="0.3">
      <c r="A280" s="19" t="s">
        <v>8</v>
      </c>
      <c r="C280" s="32">
        <v>40500</v>
      </c>
      <c r="D280" s="31">
        <v>64</v>
      </c>
      <c r="F280" s="81">
        <v>46309</v>
      </c>
      <c r="G280" s="34">
        <v>0</v>
      </c>
      <c r="H280" s="34">
        <v>81404.999999999985</v>
      </c>
    </row>
    <row r="281" spans="1:8" x14ac:dyDescent="0.3">
      <c r="A281" s="19" t="s">
        <v>8</v>
      </c>
      <c r="C281" s="32">
        <v>40500</v>
      </c>
      <c r="D281" s="31">
        <v>65</v>
      </c>
      <c r="F281" s="81">
        <v>46309</v>
      </c>
      <c r="G281" s="34">
        <v>0</v>
      </c>
      <c r="H281" s="34">
        <v>62977.5</v>
      </c>
    </row>
    <row r="282" spans="1:8" x14ac:dyDescent="0.3">
      <c r="A282" s="19" t="s">
        <v>8</v>
      </c>
      <c r="C282" s="32">
        <v>40500</v>
      </c>
      <c r="D282" s="31">
        <v>65</v>
      </c>
      <c r="F282" s="81">
        <v>46309</v>
      </c>
      <c r="G282" s="34">
        <v>0</v>
      </c>
      <c r="H282" s="34">
        <v>160987.5</v>
      </c>
    </row>
    <row r="283" spans="1:8" x14ac:dyDescent="0.3">
      <c r="A283" s="19" t="s">
        <v>8</v>
      </c>
      <c r="C283" s="32">
        <v>40500</v>
      </c>
      <c r="D283" s="31">
        <v>65</v>
      </c>
      <c r="F283" s="81">
        <v>46309</v>
      </c>
      <c r="G283" s="34">
        <v>0</v>
      </c>
      <c r="H283" s="34">
        <v>79987.5</v>
      </c>
    </row>
    <row r="284" spans="1:8" x14ac:dyDescent="0.3">
      <c r="A284" s="19" t="s">
        <v>8</v>
      </c>
      <c r="C284" s="32">
        <v>40500</v>
      </c>
      <c r="D284" s="31">
        <v>65</v>
      </c>
      <c r="F284" s="81">
        <v>46309</v>
      </c>
      <c r="G284" s="34">
        <v>0</v>
      </c>
      <c r="H284" s="34">
        <v>238950</v>
      </c>
    </row>
    <row r="285" spans="1:8" x14ac:dyDescent="0.3">
      <c r="A285" s="19" t="s">
        <v>11</v>
      </c>
      <c r="D285" s="31">
        <v>66</v>
      </c>
      <c r="F285" s="81"/>
      <c r="G285" s="34">
        <v>0</v>
      </c>
      <c r="H285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C1" zoomScale="98" zoomScaleNormal="98" workbookViewId="0">
      <selection activeCell="A8" sqref="A8:L35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0" t="s">
        <v>98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</row>
    <row r="2" spans="1:12" ht="31.8" customHeight="1" x14ac:dyDescent="0.3">
      <c r="A2" s="36" t="s">
        <v>140</v>
      </c>
      <c r="B2" s="72" t="s">
        <v>141</v>
      </c>
      <c r="C2" s="73"/>
      <c r="D2" s="37" t="s">
        <v>128</v>
      </c>
      <c r="E2" s="38" t="s">
        <v>129</v>
      </c>
      <c r="F2" s="46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7" t="s">
        <v>106</v>
      </c>
      <c r="B3" s="48"/>
      <c r="C3" s="47"/>
      <c r="D3" s="49">
        <v>436210262.46271932</v>
      </c>
      <c r="E3" s="49">
        <v>272556312.09868419</v>
      </c>
      <c r="F3" s="49"/>
      <c r="G3" s="49">
        <v>272556312.09868419</v>
      </c>
      <c r="H3" s="50">
        <v>157805421.7533918</v>
      </c>
      <c r="I3" s="49">
        <v>114750890.34529239</v>
      </c>
      <c r="J3" s="49">
        <v>38882475.334210522</v>
      </c>
      <c r="K3" s="48"/>
      <c r="L3" s="48"/>
    </row>
    <row r="4" spans="1:12" ht="25.2" customHeight="1" x14ac:dyDescent="0.3">
      <c r="A4" s="51" t="s">
        <v>99</v>
      </c>
      <c r="B4" s="51" t="s">
        <v>0</v>
      </c>
      <c r="C4" s="51" t="s">
        <v>97</v>
      </c>
      <c r="D4" s="51" t="s">
        <v>84</v>
      </c>
      <c r="E4" s="52" t="s">
        <v>100</v>
      </c>
      <c r="F4" s="51" t="s">
        <v>3</v>
      </c>
      <c r="G4" s="51" t="s">
        <v>85</v>
      </c>
      <c r="H4" s="51" t="s">
        <v>86</v>
      </c>
      <c r="I4" s="51" t="s">
        <v>87</v>
      </c>
      <c r="J4" s="53" t="s">
        <v>88</v>
      </c>
      <c r="K4" s="53" t="s">
        <v>89</v>
      </c>
      <c r="L4" s="51" t="s">
        <v>90</v>
      </c>
    </row>
    <row r="5" spans="1:12" ht="14.4" customHeight="1" x14ac:dyDescent="0.3">
      <c r="A5" s="54">
        <v>3</v>
      </c>
      <c r="B5" s="54" t="s">
        <v>8</v>
      </c>
      <c r="C5" s="55">
        <v>46211</v>
      </c>
      <c r="D5" s="56">
        <v>7788965.1052631577</v>
      </c>
      <c r="E5" s="57" t="s">
        <v>91</v>
      </c>
      <c r="F5" s="55">
        <v>46301</v>
      </c>
      <c r="G5" s="56">
        <v>7788965.1052631577</v>
      </c>
      <c r="H5" s="56">
        <v>7511408</v>
      </c>
      <c r="I5" s="56">
        <v>277557.10526315775</v>
      </c>
      <c r="J5" s="56">
        <v>277557.10526315775</v>
      </c>
      <c r="K5" s="58" t="s">
        <v>142</v>
      </c>
      <c r="L5" s="54" t="s">
        <v>92</v>
      </c>
    </row>
    <row r="6" spans="1:12" ht="14.4" customHeight="1" x14ac:dyDescent="0.3">
      <c r="A6" s="54">
        <v>54</v>
      </c>
      <c r="B6" s="54" t="s">
        <v>11</v>
      </c>
      <c r="C6" s="55">
        <v>46303</v>
      </c>
      <c r="D6" s="56">
        <v>1170468</v>
      </c>
      <c r="E6" s="60" t="s">
        <v>93</v>
      </c>
      <c r="F6" s="55">
        <v>46303</v>
      </c>
      <c r="G6" s="56">
        <v>1170468</v>
      </c>
      <c r="H6" s="56">
        <v>348958</v>
      </c>
      <c r="I6" s="56">
        <v>821510</v>
      </c>
      <c r="J6" s="56">
        <v>821510</v>
      </c>
      <c r="K6" s="58" t="s">
        <v>143</v>
      </c>
      <c r="L6" s="54" t="s">
        <v>92</v>
      </c>
    </row>
    <row r="7" spans="1:12" ht="14.4" customHeight="1" x14ac:dyDescent="0.3">
      <c r="A7" s="61">
        <v>57</v>
      </c>
      <c r="B7" s="61" t="s">
        <v>8</v>
      </c>
      <c r="C7" s="62">
        <v>46304</v>
      </c>
      <c r="D7" s="63">
        <v>12289987.052631579</v>
      </c>
      <c r="E7" s="42" t="s">
        <v>93</v>
      </c>
      <c r="F7" s="62">
        <v>46304</v>
      </c>
      <c r="G7" s="64">
        <v>4915994.8210526323</v>
      </c>
      <c r="H7" s="63">
        <v>0</v>
      </c>
      <c r="I7" s="63">
        <v>4915994.8210526323</v>
      </c>
      <c r="J7" s="63">
        <v>4915994.8210526323</v>
      </c>
      <c r="K7" s="65" t="s">
        <v>123</v>
      </c>
      <c r="L7" s="61" t="s">
        <v>92</v>
      </c>
    </row>
    <row r="8" spans="1:12" ht="14.4" customHeight="1" x14ac:dyDescent="0.3">
      <c r="A8" s="66">
        <v>60</v>
      </c>
      <c r="B8" s="66" t="s">
        <v>8</v>
      </c>
      <c r="C8" s="67">
        <v>46306</v>
      </c>
      <c r="D8" s="68">
        <v>26271786.315789472</v>
      </c>
      <c r="E8" s="42" t="s">
        <v>93</v>
      </c>
      <c r="F8" s="67">
        <v>46306</v>
      </c>
      <c r="G8" s="68">
        <v>26271786.315789472</v>
      </c>
      <c r="H8" s="68">
        <v>0</v>
      </c>
      <c r="I8" s="68">
        <v>26271786.315789472</v>
      </c>
      <c r="J8" s="68">
        <v>26271786.315789472</v>
      </c>
      <c r="K8" s="69" t="s">
        <v>144</v>
      </c>
      <c r="L8" s="66" t="s">
        <v>92</v>
      </c>
    </row>
    <row r="9" spans="1:12" ht="14.4" customHeight="1" x14ac:dyDescent="0.3">
      <c r="A9" s="54">
        <v>61</v>
      </c>
      <c r="B9" s="54" t="s">
        <v>11</v>
      </c>
      <c r="C9" s="55">
        <v>46307</v>
      </c>
      <c r="D9" s="56">
        <v>1626240</v>
      </c>
      <c r="E9" s="42" t="s">
        <v>93</v>
      </c>
      <c r="F9" s="55">
        <v>46307</v>
      </c>
      <c r="G9" s="56">
        <v>1626240</v>
      </c>
      <c r="H9" s="56">
        <v>0</v>
      </c>
      <c r="I9" s="56">
        <v>1626240</v>
      </c>
      <c r="J9" s="56">
        <v>1626240</v>
      </c>
      <c r="K9" s="58" t="s">
        <v>124</v>
      </c>
      <c r="L9" s="54" t="s">
        <v>92</v>
      </c>
    </row>
    <row r="10" spans="1:12" ht="14.4" customHeight="1" x14ac:dyDescent="0.3">
      <c r="A10" s="54">
        <v>62</v>
      </c>
      <c r="B10" s="54" t="s">
        <v>11</v>
      </c>
      <c r="C10" s="55">
        <v>46307</v>
      </c>
      <c r="D10" s="56">
        <v>3795800</v>
      </c>
      <c r="E10" s="42" t="s">
        <v>93</v>
      </c>
      <c r="F10" s="55">
        <v>46307</v>
      </c>
      <c r="G10" s="56">
        <v>948950</v>
      </c>
      <c r="H10" s="56">
        <v>0</v>
      </c>
      <c r="I10" s="56">
        <v>948950</v>
      </c>
      <c r="J10" s="56">
        <v>948950</v>
      </c>
      <c r="K10" s="58" t="s">
        <v>124</v>
      </c>
      <c r="L10" s="54" t="s">
        <v>92</v>
      </c>
    </row>
    <row r="11" spans="1:12" ht="14.4" customHeight="1" x14ac:dyDescent="0.3">
      <c r="A11" s="61">
        <v>63</v>
      </c>
      <c r="B11" s="61" t="s">
        <v>11</v>
      </c>
      <c r="C11" s="62">
        <v>46308</v>
      </c>
      <c r="D11" s="63">
        <v>7170280.9999999991</v>
      </c>
      <c r="E11" s="42" t="s">
        <v>93</v>
      </c>
      <c r="F11" s="62">
        <v>46308</v>
      </c>
      <c r="G11" s="63">
        <v>1792570.2499999998</v>
      </c>
      <c r="H11" s="63">
        <v>0</v>
      </c>
      <c r="I11" s="63">
        <v>1792570.2499999998</v>
      </c>
      <c r="J11" s="63">
        <v>1792570.2499999998</v>
      </c>
      <c r="K11" s="65" t="s">
        <v>117</v>
      </c>
      <c r="L11" s="61" t="s">
        <v>92</v>
      </c>
    </row>
    <row r="12" spans="1:12" ht="14.4" customHeight="1" x14ac:dyDescent="0.3">
      <c r="A12" s="66">
        <v>64</v>
      </c>
      <c r="B12" s="66" t="s">
        <v>8</v>
      </c>
      <c r="C12" s="67">
        <v>46309</v>
      </c>
      <c r="D12" s="68">
        <v>1238264.4078947369</v>
      </c>
      <c r="E12" s="42" t="s">
        <v>93</v>
      </c>
      <c r="F12" s="67">
        <v>46309</v>
      </c>
      <c r="G12" s="68">
        <v>495305.76315789478</v>
      </c>
      <c r="H12" s="68">
        <v>0</v>
      </c>
      <c r="I12" s="68">
        <v>495305.76315789478</v>
      </c>
      <c r="J12" s="68">
        <v>495305.76315789478</v>
      </c>
      <c r="K12" s="69" t="s">
        <v>127</v>
      </c>
      <c r="L12" s="66" t="s">
        <v>92</v>
      </c>
    </row>
    <row r="13" spans="1:12" ht="14.4" customHeight="1" x14ac:dyDescent="0.3">
      <c r="A13" s="54">
        <v>65</v>
      </c>
      <c r="B13" s="54" t="s">
        <v>8</v>
      </c>
      <c r="C13" s="55">
        <v>46309</v>
      </c>
      <c r="D13" s="56">
        <v>538140.19736842101</v>
      </c>
      <c r="E13" s="42" t="s">
        <v>93</v>
      </c>
      <c r="F13" s="55">
        <v>46309</v>
      </c>
      <c r="G13" s="56">
        <v>215256.07894736843</v>
      </c>
      <c r="H13" s="56">
        <v>0</v>
      </c>
      <c r="I13" s="56">
        <v>215256.07894736843</v>
      </c>
      <c r="J13" s="56">
        <v>215256.07894736843</v>
      </c>
      <c r="K13" s="58" t="s">
        <v>127</v>
      </c>
      <c r="L13" s="54" t="s">
        <v>92</v>
      </c>
    </row>
    <row r="14" spans="1:12" ht="14.4" customHeight="1" x14ac:dyDescent="0.3">
      <c r="A14" s="61">
        <v>39</v>
      </c>
      <c r="B14" s="61" t="s">
        <v>47</v>
      </c>
      <c r="C14" s="62">
        <v>46250</v>
      </c>
      <c r="D14" s="63">
        <v>2017305</v>
      </c>
      <c r="E14" s="42" t="s">
        <v>91</v>
      </c>
      <c r="F14" s="62">
        <v>46310</v>
      </c>
      <c r="G14" s="63">
        <v>2017305</v>
      </c>
      <c r="H14" s="63">
        <v>500000</v>
      </c>
      <c r="I14" s="63">
        <v>1517305</v>
      </c>
      <c r="J14" s="63">
        <v>1517305</v>
      </c>
      <c r="K14" s="65" t="s">
        <v>130</v>
      </c>
      <c r="L14" s="61" t="s">
        <v>92</v>
      </c>
    </row>
    <row r="15" spans="1:12" ht="14.4" customHeight="1" x14ac:dyDescent="0.3">
      <c r="A15" s="54">
        <v>41</v>
      </c>
      <c r="B15" s="54" t="s">
        <v>13</v>
      </c>
      <c r="C15" s="55">
        <v>46251</v>
      </c>
      <c r="D15" s="56">
        <v>3979312.8421052634</v>
      </c>
      <c r="E15" s="42" t="s">
        <v>91</v>
      </c>
      <c r="F15" s="55">
        <v>46311</v>
      </c>
      <c r="G15" s="56">
        <v>3979312.8421052634</v>
      </c>
      <c r="H15" s="56">
        <v>0</v>
      </c>
      <c r="I15" s="56">
        <v>3979312.8421052634</v>
      </c>
      <c r="J15" s="56">
        <v>0</v>
      </c>
      <c r="K15" s="58"/>
      <c r="L15" s="54" t="s">
        <v>125</v>
      </c>
    </row>
    <row r="16" spans="1:12" ht="14.4" customHeight="1" x14ac:dyDescent="0.3">
      <c r="A16" s="42">
        <v>47</v>
      </c>
      <c r="B16" s="42" t="s">
        <v>11</v>
      </c>
      <c r="C16" s="43">
        <v>46284</v>
      </c>
      <c r="D16" s="44">
        <v>4577624</v>
      </c>
      <c r="E16" s="42" t="s">
        <v>91</v>
      </c>
      <c r="F16" s="43">
        <v>46314</v>
      </c>
      <c r="G16" s="44">
        <v>3433218</v>
      </c>
      <c r="H16" s="44">
        <v>0</v>
      </c>
      <c r="I16" s="44">
        <v>3433218</v>
      </c>
      <c r="J16" s="44">
        <v>0</v>
      </c>
      <c r="K16" s="45"/>
      <c r="L16" s="42" t="s">
        <v>145</v>
      </c>
    </row>
    <row r="17" spans="1:12" ht="14.4" customHeight="1" x14ac:dyDescent="0.3">
      <c r="A17" s="42" t="s">
        <v>39</v>
      </c>
      <c r="B17" s="42" t="s">
        <v>8</v>
      </c>
      <c r="C17" s="43">
        <v>46232</v>
      </c>
      <c r="D17" s="44">
        <v>7077431.6118421052</v>
      </c>
      <c r="E17" s="42" t="s">
        <v>96</v>
      </c>
      <c r="F17" s="43">
        <v>46315</v>
      </c>
      <c r="G17" s="44">
        <v>2359143.8706140351</v>
      </c>
      <c r="H17" s="44">
        <v>0</v>
      </c>
      <c r="I17" s="44">
        <v>2359143.8706140351</v>
      </c>
      <c r="J17" s="44">
        <v>0</v>
      </c>
      <c r="K17" s="45"/>
      <c r="L17" s="42" t="s">
        <v>126</v>
      </c>
    </row>
    <row r="18" spans="1:12" ht="14.4" customHeight="1" x14ac:dyDescent="0.3">
      <c r="A18" s="42">
        <v>43</v>
      </c>
      <c r="B18" s="42" t="s">
        <v>15</v>
      </c>
      <c r="C18" s="43">
        <v>46256</v>
      </c>
      <c r="D18" s="44">
        <v>17745354</v>
      </c>
      <c r="E18" s="42" t="s">
        <v>91</v>
      </c>
      <c r="F18" s="43">
        <v>46316</v>
      </c>
      <c r="G18" s="44">
        <v>17745354</v>
      </c>
      <c r="H18" s="44">
        <v>0</v>
      </c>
      <c r="I18" s="44">
        <v>17745354</v>
      </c>
      <c r="J18" s="44">
        <v>0</v>
      </c>
      <c r="K18" s="45"/>
      <c r="L18" s="42" t="s">
        <v>118</v>
      </c>
    </row>
    <row r="19" spans="1:12" ht="14.4" customHeight="1" x14ac:dyDescent="0.3">
      <c r="A19" s="42">
        <v>31</v>
      </c>
      <c r="B19" s="42" t="s">
        <v>8</v>
      </c>
      <c r="C19" s="43">
        <v>46240</v>
      </c>
      <c r="D19" s="44">
        <v>20832933.25877193</v>
      </c>
      <c r="E19" s="42" t="s">
        <v>96</v>
      </c>
      <c r="F19" s="43">
        <v>46321</v>
      </c>
      <c r="G19" s="44">
        <v>6944311.0862573097</v>
      </c>
      <c r="H19" s="44">
        <v>0</v>
      </c>
      <c r="I19" s="44">
        <v>6944311.0862573097</v>
      </c>
      <c r="J19" s="44">
        <v>0</v>
      </c>
      <c r="K19" s="45"/>
      <c r="L19" s="42" t="s">
        <v>95</v>
      </c>
    </row>
    <row r="20" spans="1:12" ht="14.4" customHeight="1" x14ac:dyDescent="0.3">
      <c r="A20" s="54">
        <v>37</v>
      </c>
      <c r="B20" s="54" t="s">
        <v>8</v>
      </c>
      <c r="C20" s="55">
        <v>46250</v>
      </c>
      <c r="D20" s="56">
        <v>8800606.5263157897</v>
      </c>
      <c r="E20" s="42" t="s">
        <v>96</v>
      </c>
      <c r="F20" s="55">
        <v>46321</v>
      </c>
      <c r="G20" s="56">
        <v>2933535.5087719299</v>
      </c>
      <c r="H20" s="56">
        <v>0</v>
      </c>
      <c r="I20" s="56">
        <v>2933535.5087719299</v>
      </c>
      <c r="J20" s="56">
        <v>0</v>
      </c>
      <c r="K20" s="58"/>
      <c r="L20" s="54" t="s">
        <v>95</v>
      </c>
    </row>
    <row r="21" spans="1:12" ht="14.4" customHeight="1" x14ac:dyDescent="0.3">
      <c r="A21" s="42">
        <v>44</v>
      </c>
      <c r="B21" s="42" t="s">
        <v>17</v>
      </c>
      <c r="C21" s="43">
        <v>46268</v>
      </c>
      <c r="D21" s="44">
        <v>7179524.3859649124</v>
      </c>
      <c r="E21" s="42" t="s">
        <v>91</v>
      </c>
      <c r="F21" s="43">
        <v>46321</v>
      </c>
      <c r="G21" s="44">
        <v>7179524.3859649124</v>
      </c>
      <c r="H21" s="44">
        <v>147567.97999999952</v>
      </c>
      <c r="I21" s="44">
        <v>7031956.4059649128</v>
      </c>
      <c r="J21" s="44">
        <v>0</v>
      </c>
      <c r="K21" s="45"/>
      <c r="L21" s="42" t="s">
        <v>95</v>
      </c>
    </row>
    <row r="22" spans="1:12" ht="14.4" customHeight="1" x14ac:dyDescent="0.3">
      <c r="A22" s="42">
        <v>46</v>
      </c>
      <c r="B22" s="42" t="s">
        <v>8</v>
      </c>
      <c r="C22" s="43">
        <v>46281</v>
      </c>
      <c r="D22" s="44">
        <v>9846915.1578947362</v>
      </c>
      <c r="E22" s="42" t="s">
        <v>96</v>
      </c>
      <c r="F22" s="43">
        <v>46321</v>
      </c>
      <c r="G22" s="44">
        <v>3282305.0526315789</v>
      </c>
      <c r="H22" s="44">
        <v>0</v>
      </c>
      <c r="I22" s="44">
        <v>3282305.0526315789</v>
      </c>
      <c r="J22" s="44">
        <v>0</v>
      </c>
      <c r="K22" s="45"/>
      <c r="L22" s="42" t="s">
        <v>95</v>
      </c>
    </row>
    <row r="23" spans="1:12" ht="14.4" customHeight="1" x14ac:dyDescent="0.3">
      <c r="A23" s="54">
        <v>51</v>
      </c>
      <c r="B23" s="54" t="s">
        <v>11</v>
      </c>
      <c r="C23" s="55">
        <v>46292</v>
      </c>
      <c r="D23" s="56">
        <v>4576040</v>
      </c>
      <c r="E23" s="42" t="s">
        <v>91</v>
      </c>
      <c r="F23" s="55">
        <v>46322</v>
      </c>
      <c r="G23" s="56">
        <v>2288020</v>
      </c>
      <c r="H23" s="56">
        <v>0</v>
      </c>
      <c r="I23" s="56">
        <v>2288020</v>
      </c>
      <c r="J23" s="56">
        <v>0</v>
      </c>
      <c r="K23" s="58"/>
      <c r="L23" s="54" t="s">
        <v>95</v>
      </c>
    </row>
    <row r="24" spans="1:12" ht="14.4" customHeight="1" x14ac:dyDescent="0.3">
      <c r="A24" s="42">
        <v>52</v>
      </c>
      <c r="B24" s="42" t="s">
        <v>111</v>
      </c>
      <c r="C24" s="43">
        <v>46297</v>
      </c>
      <c r="D24" s="44">
        <v>5384800</v>
      </c>
      <c r="E24" s="42" t="s">
        <v>91</v>
      </c>
      <c r="F24" s="43">
        <v>46327</v>
      </c>
      <c r="G24" s="44">
        <v>2599999.9999999991</v>
      </c>
      <c r="H24" s="44">
        <v>0</v>
      </c>
      <c r="I24" s="44">
        <v>2599999.9999999991</v>
      </c>
      <c r="J24" s="44">
        <v>0</v>
      </c>
      <c r="K24" s="45"/>
      <c r="L24" s="42" t="s">
        <v>95</v>
      </c>
    </row>
    <row r="25" spans="1:12" ht="14.4" customHeight="1" x14ac:dyDescent="0.3">
      <c r="A25" s="42">
        <v>55</v>
      </c>
      <c r="B25" s="42" t="s">
        <v>111</v>
      </c>
      <c r="C25" s="43">
        <v>46301</v>
      </c>
      <c r="D25" s="44">
        <v>4791465</v>
      </c>
      <c r="E25" s="42" t="s">
        <v>91</v>
      </c>
      <c r="F25" s="43">
        <v>46331</v>
      </c>
      <c r="G25" s="44">
        <v>2395732.5</v>
      </c>
      <c r="H25" s="44">
        <v>0</v>
      </c>
      <c r="I25" s="44">
        <v>2395732.5</v>
      </c>
      <c r="J25" s="44">
        <v>0</v>
      </c>
      <c r="K25" s="45"/>
      <c r="L25" s="42" t="s">
        <v>95</v>
      </c>
    </row>
    <row r="26" spans="1:12" ht="14.4" customHeight="1" x14ac:dyDescent="0.3">
      <c r="A26" s="54">
        <v>62</v>
      </c>
      <c r="B26" s="54" t="s">
        <v>11</v>
      </c>
      <c r="C26" s="55">
        <v>46307</v>
      </c>
      <c r="D26" s="56">
        <v>3795800</v>
      </c>
      <c r="E26" s="42" t="s">
        <v>91</v>
      </c>
      <c r="F26" s="55">
        <v>46337</v>
      </c>
      <c r="G26" s="56">
        <v>2846850</v>
      </c>
      <c r="H26" s="56">
        <v>0</v>
      </c>
      <c r="I26" s="56">
        <v>2846850</v>
      </c>
      <c r="J26" s="56">
        <v>0</v>
      </c>
      <c r="K26" s="58"/>
      <c r="L26" s="54" t="s">
        <v>95</v>
      </c>
    </row>
    <row r="27" spans="1:12" ht="14.4" customHeight="1" x14ac:dyDescent="0.3">
      <c r="A27" s="42">
        <v>63</v>
      </c>
      <c r="B27" s="42" t="s">
        <v>11</v>
      </c>
      <c r="C27" s="43">
        <v>46308</v>
      </c>
      <c r="D27" s="44">
        <v>7170280.9999999991</v>
      </c>
      <c r="E27" s="42" t="s">
        <v>91</v>
      </c>
      <c r="F27" s="43">
        <v>46338</v>
      </c>
      <c r="G27" s="44">
        <v>5377710.7499999991</v>
      </c>
      <c r="H27" s="44">
        <v>0</v>
      </c>
      <c r="I27" s="44">
        <v>5377710.7499999991</v>
      </c>
      <c r="J27" s="44">
        <v>0</v>
      </c>
      <c r="K27" s="45"/>
      <c r="L27" s="42" t="s">
        <v>95</v>
      </c>
    </row>
    <row r="28" spans="1:12" ht="14.4" customHeight="1" x14ac:dyDescent="0.3">
      <c r="A28" s="42">
        <v>64</v>
      </c>
      <c r="B28" s="42" t="s">
        <v>8</v>
      </c>
      <c r="C28" s="43">
        <v>46309</v>
      </c>
      <c r="D28" s="44">
        <v>1238264.4078947369</v>
      </c>
      <c r="E28" s="42" t="s">
        <v>91</v>
      </c>
      <c r="F28" s="43">
        <v>46340</v>
      </c>
      <c r="G28" s="44">
        <v>371479.32236842107</v>
      </c>
      <c r="H28" s="44">
        <v>0</v>
      </c>
      <c r="I28" s="44">
        <v>371479.32236842107</v>
      </c>
      <c r="J28" s="44">
        <v>0</v>
      </c>
      <c r="K28" s="45"/>
      <c r="L28" s="42" t="s">
        <v>95</v>
      </c>
    </row>
    <row r="29" spans="1:12" ht="14.4" customHeight="1" x14ac:dyDescent="0.3">
      <c r="A29" s="42">
        <v>65</v>
      </c>
      <c r="B29" s="42" t="s">
        <v>8</v>
      </c>
      <c r="C29" s="43">
        <v>46309</v>
      </c>
      <c r="D29" s="44">
        <v>538140.19736842101</v>
      </c>
      <c r="E29" s="42" t="s">
        <v>91</v>
      </c>
      <c r="F29" s="43">
        <v>46340</v>
      </c>
      <c r="G29" s="44">
        <v>161442.05921052629</v>
      </c>
      <c r="H29" s="44">
        <v>0</v>
      </c>
      <c r="I29" s="44">
        <v>161442.05921052629</v>
      </c>
      <c r="J29" s="44">
        <v>0</v>
      </c>
      <c r="K29" s="45"/>
      <c r="L29" s="42" t="s">
        <v>95</v>
      </c>
    </row>
    <row r="30" spans="1:12" ht="14.4" customHeight="1" x14ac:dyDescent="0.3">
      <c r="A30" s="42">
        <v>49</v>
      </c>
      <c r="B30" s="42" t="s">
        <v>47</v>
      </c>
      <c r="C30" s="43">
        <v>46286</v>
      </c>
      <c r="D30" s="44">
        <v>1923110</v>
      </c>
      <c r="E30" s="42" t="s">
        <v>91</v>
      </c>
      <c r="F30" s="43">
        <v>46346</v>
      </c>
      <c r="G30" s="44">
        <v>1923110</v>
      </c>
      <c r="H30" s="44">
        <v>0</v>
      </c>
      <c r="I30" s="44">
        <v>1923110</v>
      </c>
      <c r="J30" s="44">
        <v>0</v>
      </c>
      <c r="K30" s="45"/>
      <c r="L30" s="42" t="s">
        <v>95</v>
      </c>
    </row>
    <row r="31" spans="1:12" ht="14.4" customHeight="1" x14ac:dyDescent="0.3">
      <c r="A31" s="42">
        <v>57</v>
      </c>
      <c r="B31" s="42" t="s">
        <v>8</v>
      </c>
      <c r="C31" s="43">
        <v>46304</v>
      </c>
      <c r="D31" s="44">
        <v>12289987.052631579</v>
      </c>
      <c r="E31" s="42" t="s">
        <v>91</v>
      </c>
      <c r="F31" s="43">
        <v>46349</v>
      </c>
      <c r="G31" s="44">
        <v>3686996.1157894735</v>
      </c>
      <c r="H31" s="44">
        <v>0</v>
      </c>
      <c r="I31" s="44">
        <v>3686996.1157894735</v>
      </c>
      <c r="J31" s="44">
        <v>0</v>
      </c>
      <c r="K31" s="45"/>
      <c r="L31" s="42" t="s">
        <v>95</v>
      </c>
    </row>
    <row r="32" spans="1:12" ht="14.4" customHeight="1" x14ac:dyDescent="0.3">
      <c r="A32" s="42">
        <v>51</v>
      </c>
      <c r="B32" s="42" t="s">
        <v>11</v>
      </c>
      <c r="C32" s="43">
        <v>46292</v>
      </c>
      <c r="D32" s="44">
        <v>4576040</v>
      </c>
      <c r="E32" s="42" t="s">
        <v>94</v>
      </c>
      <c r="F32" s="43">
        <v>46353</v>
      </c>
      <c r="G32" s="44">
        <v>2288020</v>
      </c>
      <c r="H32" s="44">
        <v>0</v>
      </c>
      <c r="I32" s="44">
        <v>2288020</v>
      </c>
      <c r="J32" s="44">
        <v>0</v>
      </c>
      <c r="K32" s="45"/>
      <c r="L32" s="42" t="s">
        <v>95</v>
      </c>
    </row>
    <row r="33" spans="1:12" ht="14.4" customHeight="1" x14ac:dyDescent="0.3">
      <c r="A33" s="42">
        <v>64</v>
      </c>
      <c r="B33" s="42" t="s">
        <v>8</v>
      </c>
      <c r="C33" s="43">
        <v>46309</v>
      </c>
      <c r="D33" s="44">
        <v>1238264.4078947369</v>
      </c>
      <c r="E33" s="42" t="s">
        <v>94</v>
      </c>
      <c r="F33" s="43">
        <v>46370</v>
      </c>
      <c r="G33" s="44">
        <v>371479.32236842107</v>
      </c>
      <c r="H33" s="44">
        <v>0</v>
      </c>
      <c r="I33" s="44">
        <v>371479.32236842107</v>
      </c>
      <c r="J33" s="44">
        <v>0</v>
      </c>
      <c r="K33" s="45"/>
      <c r="L33" s="42" t="s">
        <v>95</v>
      </c>
    </row>
    <row r="34" spans="1:12" ht="14.4" customHeight="1" x14ac:dyDescent="0.3">
      <c r="A34" s="42">
        <v>65</v>
      </c>
      <c r="B34" s="42" t="s">
        <v>8</v>
      </c>
      <c r="C34" s="43">
        <v>46309</v>
      </c>
      <c r="D34" s="44">
        <v>538140.19736842101</v>
      </c>
      <c r="E34" s="42" t="s">
        <v>94</v>
      </c>
      <c r="F34" s="43">
        <v>46370</v>
      </c>
      <c r="G34" s="44">
        <v>161442.05921052629</v>
      </c>
      <c r="H34" s="44">
        <v>0</v>
      </c>
      <c r="I34" s="44">
        <v>161442.05921052629</v>
      </c>
      <c r="J34" s="44">
        <v>0</v>
      </c>
      <c r="K34" s="45"/>
      <c r="L34" s="42" t="s">
        <v>95</v>
      </c>
    </row>
    <row r="35" spans="1:12" ht="14.4" customHeight="1" x14ac:dyDescent="0.3">
      <c r="A35" s="42">
        <v>57</v>
      </c>
      <c r="B35" s="42" t="s">
        <v>8</v>
      </c>
      <c r="C35" s="43">
        <v>46304</v>
      </c>
      <c r="D35" s="44">
        <v>12289987.052631579</v>
      </c>
      <c r="E35" s="42" t="s">
        <v>94</v>
      </c>
      <c r="F35" s="43">
        <v>46379</v>
      </c>
      <c r="G35" s="44">
        <v>3686996.1157894735</v>
      </c>
      <c r="H35" s="44">
        <v>0</v>
      </c>
      <c r="I35" s="44">
        <v>3686996.1157894735</v>
      </c>
      <c r="J35" s="44">
        <v>0</v>
      </c>
      <c r="K35" s="45"/>
      <c r="L35" s="42" t="s">
        <v>95</v>
      </c>
    </row>
    <row r="36" spans="1:12" ht="14.4" customHeight="1" x14ac:dyDescent="0.3"/>
    <row r="37" spans="1:12" ht="14.4" customHeight="1" x14ac:dyDescent="0.3"/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7">
    <cfRule type="containsText" dxfId="11" priority="7" operator="containsText" text="مسدّد">
      <formula>NOT(ISERROR(SEARCH("مسدّد",L6)))</formula>
    </cfRule>
  </conditionalFormatting>
  <conditionalFormatting sqref="L6:L7">
    <cfRule type="containsText" dxfId="10" priority="8" operator="containsText" text="مستحق">
      <formula>NOT(ISERROR(SEARCH("مستحق",L6)))</formula>
    </cfRule>
  </conditionalFormatting>
  <conditionalFormatting sqref="L6:L7">
    <cfRule type="containsText" dxfId="9" priority="9" operator="containsText" text="قريب">
      <formula>NOT(ISERROR(SEARCH("قريب",L6)))</formula>
    </cfRule>
  </conditionalFormatting>
  <conditionalFormatting sqref="L6:L7">
    <cfRule type="containsText" dxfId="8" priority="10" operator="containsText" text="جار">
      <formula>NOT(ISERROR(SEARCH("جار",L6)))</formula>
    </cfRule>
  </conditionalFormatting>
  <conditionalFormatting sqref="L6:L7">
    <cfRule type="containsText" dxfId="7" priority="11" operator="containsText" text="بدون">
      <formula>NOT(ISERROR(SEARCH("بدون",L6)))</formula>
    </cfRule>
  </conditionalFormatting>
  <conditionalFormatting sqref="J6:J7">
    <cfRule type="cellIs" dxfId="6" priority="12" operator="greaterThan">
      <formula>0</formula>
    </cfRule>
  </conditionalFormatting>
  <conditionalFormatting sqref="L8:L35">
    <cfRule type="containsText" dxfId="5" priority="1" operator="containsText" text="مسدّد">
      <formula>NOT(ISERROR(SEARCH("مسدّد",L8)))</formula>
    </cfRule>
  </conditionalFormatting>
  <conditionalFormatting sqref="L8:L35">
    <cfRule type="containsText" dxfId="4" priority="2" operator="containsText" text="مستحق">
      <formula>NOT(ISERROR(SEARCH("مستحق",L8)))</formula>
    </cfRule>
  </conditionalFormatting>
  <conditionalFormatting sqref="L8:L35">
    <cfRule type="containsText" dxfId="3" priority="3" operator="containsText" text="قريب">
      <formula>NOT(ISERROR(SEARCH("قريب",L8)))</formula>
    </cfRule>
  </conditionalFormatting>
  <conditionalFormatting sqref="L8:L35">
    <cfRule type="containsText" dxfId="2" priority="4" operator="containsText" text="جار">
      <formula>NOT(ISERROR(SEARCH("جار",L8)))</formula>
    </cfRule>
  </conditionalFormatting>
  <conditionalFormatting sqref="L8:L35">
    <cfRule type="containsText" dxfId="1" priority="5" operator="containsText" text="بدون">
      <formula>NOT(ISERROR(SEARCH("بدون",L8)))</formula>
    </cfRule>
  </conditionalFormatting>
  <conditionalFormatting sqref="J8:J35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4" t="s">
        <v>49</v>
      </c>
      <c r="B1" s="75"/>
      <c r="C1" s="75"/>
      <c r="I1" s="78" t="s">
        <v>50</v>
      </c>
      <c r="J1" s="79"/>
      <c r="K1" s="79"/>
    </row>
    <row r="2" spans="1:11" ht="15.6" x14ac:dyDescent="0.3">
      <c r="A2" s="2" t="s">
        <v>51</v>
      </c>
      <c r="B2" s="76">
        <f>SUM(B4:B3000)-SUM(C4:C3000)</f>
        <v>114715871.11868425</v>
      </c>
      <c r="C2" s="77"/>
      <c r="I2" s="3" t="s">
        <v>51</v>
      </c>
      <c r="J2" s="76">
        <f>SUM(J4:J3000)-SUM(K4:K3000)</f>
        <v>-103171548.5</v>
      </c>
      <c r="K2" s="77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103171548.5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56135029.633771971</v>
      </c>
      <c r="C6" s="7">
        <v>0</v>
      </c>
    </row>
    <row r="7" spans="1:11" ht="18" customHeight="1" x14ac:dyDescent="0.35">
      <c r="A7" s="6" t="s">
        <v>11</v>
      </c>
      <c r="B7" s="7">
        <v>21423089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0" t="s">
        <v>78</v>
      </c>
      <c r="B1" s="80"/>
      <c r="C1" s="80"/>
      <c r="D1" s="80"/>
    </row>
    <row r="2" spans="1:4" x14ac:dyDescent="0.3">
      <c r="A2" s="21" t="s">
        <v>79</v>
      </c>
      <c r="B2" s="22">
        <v>10</v>
      </c>
      <c r="C2" s="23">
        <v>38882475.334210522</v>
      </c>
      <c r="D2" s="24">
        <v>4.5999999999999996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9" t="s">
        <v>47</v>
      </c>
      <c r="B4" s="26">
        <v>1</v>
      </c>
      <c r="C4" s="27">
        <v>1517305</v>
      </c>
      <c r="D4" s="28">
        <v>1</v>
      </c>
    </row>
    <row r="5" spans="1:4" x14ac:dyDescent="0.3">
      <c r="A5" s="29" t="s">
        <v>8</v>
      </c>
      <c r="B5" s="26">
        <v>5</v>
      </c>
      <c r="C5" s="27">
        <v>32175900.084210522</v>
      </c>
      <c r="D5" s="28">
        <v>5.2</v>
      </c>
    </row>
    <row r="6" spans="1:4" x14ac:dyDescent="0.3">
      <c r="A6" s="29" t="s">
        <v>11</v>
      </c>
      <c r="B6" s="26">
        <v>4</v>
      </c>
      <c r="C6" s="27">
        <v>5189270.25</v>
      </c>
      <c r="D6" s="28">
        <v>4.75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QXO51zFpPjbbsmhtFMlxnRnHe3RMEc5l70i1umLtF7JMfFd+NGC1e3Z43Ou5yGwLz34bq8SDotTOxcVB6CZ18Q==" saltValue="X0RYN4VD/c5XCruCxwn/Hw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2026-10-15T06:58:12Z</dcterms:modified>
</cp:coreProperties>
</file>