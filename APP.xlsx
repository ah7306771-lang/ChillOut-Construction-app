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EAB4BF6-8473-4134-B20B-A82CE343E7D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<sst xmlns="http://schemas.openxmlformats.org/spreadsheetml/2006/main" count="922" uniqueCount="146">
  <si>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</si>
  <si>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</si>
  <si>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</si>
  <si>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</si>
  <si>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</si>
  <si>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</si>
  <si>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</si>
  <si>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</si>
  <si>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</si>
  <si>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</si>
  <si>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</si>
  <si>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</si>
  <si>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</si>
  <si>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</si>
  <si>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</si>
  <si>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</si>
  <si>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</si>
  <si>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</si>
  <si>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</si>
  <si>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</si>
  <si>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</si>
  <si>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</si>
  <si>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</si>
  <si>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</si>
  <si>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</si>
  <si>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</si>
  <si>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</si>
  <si>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</si>
  <si>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</si>
  <si>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</si>
  <si>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</si>
  <si>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</si>
  <si>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</si>
  <si>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</si>
  <si>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</si>
  <si>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</si>
  <si>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</si>
  <si>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</si>
  <si>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</si>
  <si>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</si>
  <si>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</si>
  <si>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</si>
  <si>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</si>
  <si>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</si>
  <si>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</si>
  <si>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</si>
  <si>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</si>
  <si>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</si>
  <si>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</si>
  <si>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</si>
  <si>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</si>
  <si>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</si>
  <si>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</si>
  <si>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</si>
  <si>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</si>
  <si>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</si>
  <si>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</si>
  <si>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</si>
  <si>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</si>
  <si>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</si>
  <si>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</si>
  <si>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</si>
  <si>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</si>
  <si>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</si>
  <si>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</si>
  <si>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</si>
  <si>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</si>
  <si>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</si>
  <si>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</si>
  <si>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</si>
  <si>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</si>
  <si>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</si>
  <si>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</si>
  <si>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</si>
  <si>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</si>
  <si>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</si>
  <si>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</si>
  <si>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</si>
  <si>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</si>
  <si>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</si>
  <si>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</si>
  <si>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</si>
  <si>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</si>
  <si>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</si>
  <si>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</si>
  <si>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</si>
  <si>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</si>
  <si>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</si>
  <si>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</si>
  <si>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</si>
  <si>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</si>
  <si>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</si>
  <si>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</si>
  <si>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</si>
  <si>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</si>
  <si>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</si>
  <si>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</si>
  <si>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</si>
  <si>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</si>
  <si>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</si>
  <si>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</si>
  <si>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</si>
  <si>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</si>
  <si>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</si>
  <si>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</si>
  <si>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</si>
  <si>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</si>
  <si>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</si>
  <si>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</si>
  <si>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</si>
  <si>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</si>
  <si>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كامل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</si>
  <si>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</si>
  <si>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</si>
  <si>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</si>
  <si>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</si>
  <si>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</si>
  <si>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13 يوم</t>
  </si>
  <si>
    <t>كاش 40% - 30% شيك اجل 45 يوم - 30% شيك اجل 75 يوم</t>
  </si>
  <si>
    <t>متبقي منه ٤,٩٣٧,٨٩٤</t>
  </si>
  <si>
    <t>⚠ باقي 12 يوم</t>
  </si>
  <si>
    <t>⚠ باقي 43 يوم</t>
  </si>
  <si>
    <t>5 أيام</t>
  </si>
  <si>
    <t>يومان</t>
  </si>
  <si>
    <t>🔔 متبقي 3 أيام</t>
  </si>
  <si>
    <t>🔔 متبقي 7 أيام</t>
  </si>
  <si>
    <t>⚠ شيك متأخر 23 يوم</t>
  </si>
  <si>
    <t>⚠ شيك متأخر 17 يوم</t>
  </si>
  <si>
    <t>⚠ باقي 4 يوم</t>
  </si>
  <si>
    <t>⚠ باقي 7 يوم</t>
  </si>
  <si>
    <t>⚠ باقي 9 يوم</t>
  </si>
  <si>
    <t>⚠ باقي 11 يوم</t>
  </si>
  <si>
    <t>⚠ باقي 15 يوم</t>
  </si>
  <si>
    <t>⚠ باقي 42 يوم</t>
  </si>
  <si>
    <t>⚠ باقي 46 يوم</t>
  </si>
  <si>
    <t>⚠ باقي 17 يوم</t>
  </si>
  <si>
    <t>8 أيام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</si>
  <si>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</si>
  <si>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</si>
  <si>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</si>
  <si>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</si>
  <si>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</si>
  <si>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</si>
  <si>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</si>
  <si>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⚠ متأخر
36,957,132</t>
  </si>
  <si>
    <t>100% كاش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</si>
</sst>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126</v>
      </c>
      <c r="H3" s="19" t="s">
        <v>111</v>
      </c>
      <c r="I3" s="19"/>
    </row>
    <row r="4" spans="1:9" x14ac:dyDescent="0.3">
      <c r="A4" s="19" t="s">
        <v>8</v>
      </c>
      <c r="B4" s="19">
        <v>307383</v>
      </c>
      <c r="C4" s="19">
        <v>13300000</v>
      </c>
      <c r="D4" s="82">
        <v>46291</v>
      </c>
      <c r="E4" s="19" t="s">
        <v>9</v>
      </c>
      <c r="F4" s="19" t="s">
        <v>10</v>
      </c>
      <c r="G4" s="19" t="s">
        <v>127</v>
      </c>
      <c r="H4" s="19" t="s">
        <v>119</v>
      </c>
      <c r="I4" s="19"/>
    </row>
    <row r="5" spans="1:9" x14ac:dyDescent="0.3">
      <c r="A5" s="19" t="s">
        <v>13</v>
      </c>
      <c r="B5" s="19">
        <v>9165752</v>
      </c>
      <c r="C5" s="19">
        <v>3979312.84</v>
      </c>
      <c r="D5" s="82">
        <v>46312</v>
      </c>
      <c r="E5" s="19" t="s">
        <v>14</v>
      </c>
      <c r="F5" s="19" t="s">
        <v>10</v>
      </c>
      <c r="G5" s="19" t="s">
        <v>128</v>
      </c>
      <c r="H5" s="19"/>
      <c r="I5" s="19"/>
    </row>
    <row r="6" spans="1:9" x14ac:dyDescent="0.3">
      <c r="A6" s="19" t="s">
        <v>8</v>
      </c>
      <c r="B6" s="19">
        <v>307381</v>
      </c>
      <c r="C6" s="19">
        <v>2388000</v>
      </c>
      <c r="D6" s="82">
        <v>46315</v>
      </c>
      <c r="E6" s="19" t="s">
        <v>9</v>
      </c>
      <c r="F6" s="19" t="s">
        <v>10</v>
      </c>
      <c r="G6" s="19" t="s">
        <v>129</v>
      </c>
      <c r="H6" s="19"/>
      <c r="I6" s="19"/>
    </row>
    <row r="7" spans="1:9" x14ac:dyDescent="0.3">
      <c r="A7" s="19" t="s">
        <v>15</v>
      </c>
      <c r="B7" s="19">
        <v>2798976</v>
      </c>
      <c r="C7" s="19">
        <v>17745354</v>
      </c>
      <c r="D7" s="82">
        <v>46317</v>
      </c>
      <c r="E7" s="19" t="s">
        <v>16</v>
      </c>
      <c r="F7" s="19" t="s">
        <v>10</v>
      </c>
      <c r="G7" s="19" t="s">
        <v>130</v>
      </c>
      <c r="H7" s="19"/>
      <c r="I7" s="19"/>
    </row>
    <row r="8" spans="1:9" x14ac:dyDescent="0.3">
      <c r="A8" s="19" t="s">
        <v>8</v>
      </c>
      <c r="B8" s="19">
        <v>307384</v>
      </c>
      <c r="C8" s="19">
        <v>13300000</v>
      </c>
      <c r="D8" s="82">
        <v>46321</v>
      </c>
      <c r="E8" s="19" t="s">
        <v>9</v>
      </c>
      <c r="F8" s="19" t="s">
        <v>10</v>
      </c>
      <c r="G8" s="19" t="s">
        <v>117</v>
      </c>
      <c r="H8" s="19"/>
      <c r="I8" s="19"/>
    </row>
    <row r="9" spans="1:9" x14ac:dyDescent="0.3">
      <c r="A9" s="19" t="s">
        <v>17</v>
      </c>
      <c r="B9" s="19">
        <v>13249953</v>
      </c>
      <c r="C9" s="19">
        <v>7167694.6299999999</v>
      </c>
      <c r="D9" s="82">
        <v>46321</v>
      </c>
      <c r="E9" s="19" t="s">
        <v>9</v>
      </c>
      <c r="F9" s="19" t="s">
        <v>10</v>
      </c>
      <c r="G9" s="19" t="s">
        <v>117</v>
      </c>
      <c r="H9" s="19"/>
      <c r="I9" s="19"/>
    </row>
    <row r="10" spans="1:9" x14ac:dyDescent="0.3">
      <c r="A10" s="19" t="s">
        <v>11</v>
      </c>
      <c r="B10" s="19">
        <v>551298792</v>
      </c>
      <c r="C10" s="19">
        <v>3433000</v>
      </c>
      <c r="D10" s="82">
        <v>46315</v>
      </c>
      <c r="E10" s="19" t="s">
        <v>12</v>
      </c>
      <c r="F10" s="19" t="s">
        <v>10</v>
      </c>
      <c r="G10" s="19" t="s">
        <v>129</v>
      </c>
      <c r="H10" s="19"/>
      <c r="I10" s="19"/>
    </row>
    <row r="11" spans="1:9" x14ac:dyDescent="0.3">
      <c r="A11" s="19" t="s">
        <v>11</v>
      </c>
      <c r="B11" s="19">
        <v>552585548</v>
      </c>
      <c r="C11" s="19">
        <v>805700</v>
      </c>
      <c r="D11" s="82">
        <v>46319</v>
      </c>
      <c r="E11" s="19" t="s">
        <v>12</v>
      </c>
      <c r="F11" s="19" t="s">
        <v>10</v>
      </c>
      <c r="G11" s="19" t="s">
        <v>131</v>
      </c>
      <c r="H11" s="19"/>
      <c r="I11" s="19"/>
    </row>
    <row r="12" spans="1:9" x14ac:dyDescent="0.3">
      <c r="A12" s="19" t="s">
        <v>11</v>
      </c>
      <c r="B12" s="19">
        <v>67491042</v>
      </c>
      <c r="C12" s="19">
        <v>304550</v>
      </c>
      <c r="D12" s="82">
        <v>46320</v>
      </c>
      <c r="E12" s="19" t="s">
        <v>109</v>
      </c>
      <c r="F12" s="19" t="s">
        <v>10</v>
      </c>
      <c r="G12" s="19" t="s">
        <v>120</v>
      </c>
      <c r="H12" s="19"/>
      <c r="I12" s="19"/>
    </row>
    <row r="13" spans="1:9" x14ac:dyDescent="0.3">
      <c r="A13" s="19" t="s">
        <v>11</v>
      </c>
      <c r="B13" s="19">
        <v>532070</v>
      </c>
      <c r="C13" s="19">
        <v>1500000</v>
      </c>
      <c r="D13" s="82">
        <v>46323</v>
      </c>
      <c r="E13" s="19" t="s">
        <v>110</v>
      </c>
      <c r="F13" s="19" t="s">
        <v>10</v>
      </c>
      <c r="G13" s="19" t="s">
        <v>132</v>
      </c>
      <c r="H13" s="19"/>
      <c r="I13" s="19"/>
    </row>
    <row r="14" spans="1:9" x14ac:dyDescent="0.3">
      <c r="A14" s="19" t="s">
        <v>11</v>
      </c>
      <c r="B14" s="19">
        <v>552585549</v>
      </c>
      <c r="C14" s="19">
        <v>805700</v>
      </c>
      <c r="D14" s="82">
        <v>46350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67491043</v>
      </c>
      <c r="C15" s="19">
        <v>304550</v>
      </c>
      <c r="D15" s="82">
        <v>46351</v>
      </c>
      <c r="E15" s="19" t="s">
        <v>109</v>
      </c>
      <c r="F15" s="19" t="s">
        <v>10</v>
      </c>
      <c r="G15" s="19" t="s">
        <v>121</v>
      </c>
      <c r="H15" s="19"/>
      <c r="I15" s="19"/>
    </row>
    <row r="16" spans="1:9" x14ac:dyDescent="0.3">
      <c r="A16" s="19" t="s">
        <v>11</v>
      </c>
      <c r="B16" s="19">
        <v>551695622</v>
      </c>
      <c r="C16" s="19">
        <v>855540</v>
      </c>
      <c r="D16" s="82">
        <v>46354</v>
      </c>
      <c r="E16" s="19" t="s">
        <v>12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112</v>
      </c>
      <c r="B17" s="19">
        <v>74668</v>
      </c>
      <c r="C17" s="19">
        <v>1400000</v>
      </c>
      <c r="D17" s="82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112</v>
      </c>
      <c r="B18" s="19">
        <v>74669</v>
      </c>
      <c r="C18" s="19">
        <v>1200000</v>
      </c>
      <c r="D18" s="82">
        <v>46325</v>
      </c>
      <c r="E18" s="19" t="s">
        <v>9</v>
      </c>
      <c r="F18" s="19" t="s">
        <v>10</v>
      </c>
      <c r="G18" s="19" t="s">
        <v>135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116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116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116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116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116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116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116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116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112</v>
      </c>
      <c r="B221" s="32">
        <v>38000</v>
      </c>
      <c r="C221" s="32">
        <v>40000</v>
      </c>
      <c r="D221" s="31">
        <v>52</v>
      </c>
      <c r="E221" s="19" t="s">
        <v>113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112</v>
      </c>
      <c r="B222" s="32">
        <v>38000</v>
      </c>
      <c r="C222" s="32">
        <v>40000</v>
      </c>
      <c r="D222" s="31">
        <v>52</v>
      </c>
      <c r="E222" s="19" t="s">
        <v>113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112</v>
      </c>
      <c r="B223" s="32">
        <v>38000</v>
      </c>
      <c r="C223" s="32">
        <v>40000</v>
      </c>
      <c r="D223" s="31">
        <v>52</v>
      </c>
      <c r="E223" s="19" t="s">
        <v>113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112</v>
      </c>
      <c r="B224" s="32">
        <v>38000</v>
      </c>
      <c r="C224" s="32">
        <v>40000</v>
      </c>
      <c r="D224" s="31">
        <v>52</v>
      </c>
      <c r="E224" s="19" t="s">
        <v>113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115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115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115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115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115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115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115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112</v>
      </c>
      <c r="B232" s="32">
        <v>39900</v>
      </c>
      <c r="C232" s="32">
        <v>41000</v>
      </c>
      <c r="D232" s="31">
        <v>55</v>
      </c>
      <c r="E232" s="19" t="s">
        <v>113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112</v>
      </c>
      <c r="B233" s="32">
        <v>39900</v>
      </c>
      <c r="C233" s="32">
        <v>41000</v>
      </c>
      <c r="D233" s="31">
        <v>55</v>
      </c>
      <c r="E233" s="19" t="s">
        <v>113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112</v>
      </c>
      <c r="B234" s="32">
        <v>39900</v>
      </c>
      <c r="C234" s="32">
        <v>41000</v>
      </c>
      <c r="D234" s="31">
        <v>55</v>
      </c>
      <c r="E234" s="19" t="s">
        <v>113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112</v>
      </c>
      <c r="B235" s="32">
        <v>39900</v>
      </c>
      <c r="C235" s="32">
        <v>41000</v>
      </c>
      <c r="D235" s="31">
        <v>55</v>
      </c>
      <c r="E235" s="19" t="s">
        <v>113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112</v>
      </c>
      <c r="B236" s="32">
        <v>38000</v>
      </c>
      <c r="C236" s="32">
        <v>41000</v>
      </c>
      <c r="D236" s="31">
        <v>55</v>
      </c>
      <c r="E236" s="19" t="s">
        <v>113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118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118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118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118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118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118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118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118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118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118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115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115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115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115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115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115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115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115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115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115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115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115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115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145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145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145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145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145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145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0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0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0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view="pageLayout" zoomScaleNormal="98" workbookViewId="0">
      <selection activeCell="A9" sqref="A9:L2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144</v>
      </c>
      <c r="B2" s="73" t="s">
        <v>141</v>
      </c>
      <c r="C2" s="74"/>
      <c r="D2" s="37" t="s">
        <v>143</v>
      </c>
      <c r="E2" s="38" t="s">
        <v>142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63</v>
      </c>
      <c r="F3" s="49"/>
      <c r="G3" s="50">
        <v>263696767.33552629</v>
      </c>
      <c r="H3" s="51">
        <v>155768421.64812866</v>
      </c>
      <c r="I3" s="50">
        <v>107928345.68739766</v>
      </c>
      <c r="J3" s="50">
        <v>36957132.24210526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136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2373978</v>
      </c>
      <c r="I6" s="57">
        <v>1688042</v>
      </c>
      <c r="J6" s="57">
        <v>1688042</v>
      </c>
      <c r="K6" s="59" t="s">
        <v>137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137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122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138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123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123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139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124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140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125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114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112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112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28">
    <cfRule type="containsText" dxfId="5" priority="1" operator="containsText" text="مسدّد">
      <formula>NOT(ISERROR(SEARCH("مسدّد",L9)))</formula>
    </cfRule>
  </conditionalFormatting>
  <conditionalFormatting sqref="L9:L28">
    <cfRule type="containsText" dxfId="4" priority="2" operator="containsText" text="مستحق">
      <formula>NOT(ISERROR(SEARCH("مستحق",L9)))</formula>
    </cfRule>
  </conditionalFormatting>
  <conditionalFormatting sqref="L9:L28">
    <cfRule type="containsText" dxfId="3" priority="3" operator="containsText" text="قريب">
      <formula>NOT(ISERROR(SEARCH("قريب",L9)))</formula>
    </cfRule>
  </conditionalFormatting>
  <conditionalFormatting sqref="L9:L28">
    <cfRule type="containsText" dxfId="2" priority="4" operator="containsText" text="جار">
      <formula>NOT(ISERROR(SEARCH("جار",L9)))</formula>
    </cfRule>
  </conditionalFormatting>
  <conditionalFormatting sqref="L9:L28">
    <cfRule type="containsText" dxfId="1" priority="5" operator="containsText" text="بدون">
      <formula>NOT(ISERROR(SEARCH("بدون",L9)))</formula>
    </cfRule>
  </conditionalFormatting>
  <conditionalFormatting sqref="J9:J2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107806185.51342109</v>
      </c>
      <c r="C2" s="78"/>
      <c r="I2" s="3" t="s">
        <v>51</v>
      </c>
      <c r="J2" s="77">
        <f>SUM(J4:J3000)-SUM(K4:K3000)</f>
        <v>-104498548.5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104498548.5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16289808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112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36957132.24210526</v>
      </c>
      <c r="D2" s="24">
        <v>4.5714285714285712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5.333333333333333</v>
      </c>
    </row>
    <row r="5" spans="1:4" x14ac:dyDescent="0.3">
      <c r="A5" s="29" t="s">
        <v>11</v>
      </c>
      <c r="B5" s="26">
        <v>4</v>
      </c>
      <c r="C5" s="27">
        <v>5433700</v>
      </c>
      <c r="D5" s="28">
        <v>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2QQPkdpLvO4ft+8XlRKPA1g6Sl/40ZvzirlZQlUP1r9WvUbTLMs47x3MSDcGjHke7TnVCSfloVQx9HUaxGqFKQ==" saltValue="rFU0KclfSWWjebANO2To/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2026-10-13T18:43:55Z</dcterms:modified>
</cp:coreProperties>
</file>