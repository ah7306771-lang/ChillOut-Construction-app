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56E0AABD-2A09-41E7-A201-906E0CF902E0}" xr6:coauthVersionLast="47" xr6:coauthVersionMax="47" xr10:uidLastSave="{00000000-0000-0000-0000-000000000000}"/>
  <bookViews>
    <workbookView minimized="1" xWindow="1068" yWindow="528" windowWidth="9096" windowHeight="12180" firstSheet="6" activeTab="6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3" i="7" l="1"/>
  <c r="G4" i="7"/>
  <c r="G5" i="7"/>
  <c r="G6" i="7"/>
  <c r="G7" i="7"/>
  <c r="G8" i="7"/>
  <c r="G9" i="7"/>
  <c r="G10" i="7"/>
  <c r="G11" i="7"/>
  <c r="G12" i="7"/>
  <c r="G13" i="7"/>
  <c r="G14" i="7"/>
  <c r="G15" i="7"/>
  <c r="G16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<sst xmlns="http://schemas.openxmlformats.org/spreadsheetml/2006/main" count="744" uniqueCount="148">
  <si>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</si>
  <si>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</si>
  <si>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</si>
  <si>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</si>
  <si>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</si>
  <si>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</si>
  <si>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</si>
  <si>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</si>
  <si>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</si>
  <si>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</si>
  <si>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</si>
  <si>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</si>
  <si>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</si>
  <si>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</si>
  <si>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</si>
  <si>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</si>
  <si>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</si>
  <si>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</si>
  <si>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</si>
  <si>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</si>
  <si>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</si>
  <si>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</si>
  <si>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</si>
  <si>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</si>
  <si>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</si>
  <si>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</si>
  <si>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</si>
  <si>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</si>
  <si>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</si>
  <si>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</si>
  <si>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</si>
  <si>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</si>
  <si>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</si>
  <si>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</si>
  <si>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</si>
  <si>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</si>
  <si>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</si>
  <si>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</si>
  <si>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</si>
  <si>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</si>
  <si>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</si>
  <si>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</si>
  <si>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</si>
  <si>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</si>
  <si>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</si>
  <si>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</si>
  <si>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</si>
  <si>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</si>
  <si>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</si>
  <si>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</si>
  <si>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</si>
  <si>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</si>
  <si>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</si>
  <si>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</si>
  <si>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</si>
  <si>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</si>
  <si>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</si>
  <si>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</si>
  <si>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</si>
  <si>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</si>
  <si>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</si>
  <si>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</si>
  <si>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</si>
  <si>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</si>
  <si>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</si>
  <si>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</si>
  <si>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</si>
  <si>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</si>
  <si>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</si>
  <si>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</si>
  <si>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</si>
  <si>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</si>
  <si>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</si>
  <si>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</si>
  <si>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</si>
  <si>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</si>
  <si>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</si>
  <si>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</si>
  <si>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</si>
  <si>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</si>
  <si>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</si>
  <si>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</si>
  <si>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</si>
  <si>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</si>
  <si>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</si>
  <si>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</si>
  <si>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</si>
  <si>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</si>
  <si>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</si>
  <si>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</si>
  <si>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</si>
  <si>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</si>
  <si>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</si>
  <si>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</si>
  <si>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</si>
  <si>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</si>
  <si>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</si>
  <si>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</si>
  <si>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</si>
  <si>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</si>
  <si>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</si>
  <si>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</si>
  <si>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مصر</t>
  </si>
  <si>
    <t>أ.د</t>
  </si>
  <si>
    <t>ياسر خشب</t>
  </si>
  <si>
    <t>نظافه - شيل سيتي</t>
  </si>
  <si>
    <t>في ترانس</t>
  </si>
  <si>
    <t>⚠ مستحق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</si>
  <si>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</si>
  <si>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</si>
  <si>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</si>
  <si>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</si>
  <si>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</si>
  <si>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</si>
  <si>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</si>
  <si>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</si>
  <si>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</si>
  <si>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</si>
  <si>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</si>
  <si>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</si>
  <si>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</si>
  <si>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</si>
  <si>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</si>
  <si>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🟢 جارٍ
28,042,623</t>
  </si>
  <si>
    <t>🔔 قريب الاستحقاق
4,995,733</t>
  </si>
  <si>
    <t>✅ مسدّد
194,049,435</t>
  </si>
  <si>
    <t>12 يوم</t>
  </si>
  <si>
    <t>13 يوم</t>
  </si>
  <si>
    <t>⚠ متأخر
30,070,351</t>
  </si>
  <si>
    <t>⚠ باقي 25 يوم</t>
  </si>
  <si>
    <t>17 يوم</t>
  </si>
  <si>
    <t>14 يوم</t>
  </si>
  <si>
    <t>5 أيام</t>
  </si>
  <si>
    <t>⚠ شيك متأخر 11 يوم</t>
  </si>
  <si>
    <t>⚠ شيك متأخر 6 يوم</t>
  </si>
  <si>
    <t>⚠ شيك متأخر 3 يوم</t>
  </si>
  <si>
    <t>⚠ شيك متأخر 1 يوم</t>
  </si>
  <si>
    <t>⚠ باقي 6 يوم</t>
  </si>
  <si>
    <t>⚠ باقي 22 يوم</t>
  </si>
  <si>
    <t>⚠ باقي 24 يوم</t>
  </si>
  <si>
    <t>⚠ باقي 28 يوم</t>
  </si>
  <si>
    <t>26 يوم</t>
  </si>
  <si>
    <t>21 يوم</t>
  </si>
  <si>
    <t>18 يوم</t>
  </si>
  <si>
    <t>15 يوم</t>
  </si>
  <si>
    <t>6 أيام</t>
  </si>
  <si>
    <t>🔔 متبقي يوم واحد</t>
  </si>
  <si>
    <t>🔔 متبقي 5 أيام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</si>
</sst>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66"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133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134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135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136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136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137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138</v>
      </c>
      <c r="H9" s="19" t="s">
        <v>106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139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129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140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2"/>
  <sheetViews>
    <sheetView rightToLeft="1" workbookViewId="0">
      <selection activeCell="C6" sqref="C6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104</v>
      </c>
      <c r="B3" s="19">
        <v>77838207</v>
      </c>
      <c r="C3" s="32">
        <v>290000</v>
      </c>
      <c r="D3" s="20">
        <v>46342</v>
      </c>
      <c r="E3" s="19" t="s">
        <v>102</v>
      </c>
      <c r="F3" s="19" t="s">
        <v>103</v>
      </c>
      <c r="G3" s="19" t="str">
        <f t="shared" ref="G3:G16" ca="1" si="0">IF(D3="","",IF(D3&lt;TODAY(),"⛔ متأخر "&amp;TODAY()-D3&amp;" يوم",IF(D3=TODAY(),"🔔 مستحق اليوم","⚠ باقي "&amp;D3-TODAY()&amp;" يوم")))</f>
        <v>⚠ باقي 16 يوم</v>
      </c>
      <c r="H3" s="19"/>
      <c r="I3" s="19"/>
    </row>
    <row r="4" spans="1:9" x14ac:dyDescent="0.3">
      <c r="A4" s="19" t="s">
        <v>104</v>
      </c>
      <c r="B4" s="19">
        <v>77838208</v>
      </c>
      <c r="C4" s="32">
        <v>289000</v>
      </c>
      <c r="D4" s="20">
        <v>46372</v>
      </c>
      <c r="E4" s="19" t="s">
        <v>102</v>
      </c>
      <c r="F4" s="19" t="s">
        <v>103</v>
      </c>
      <c r="G4" s="19" t="str">
        <f t="shared" ca="1" si="0"/>
        <v>⚠ باقي 46 يوم</v>
      </c>
      <c r="H4" s="19"/>
      <c r="I4" s="19"/>
    </row>
    <row r="5" spans="1:9" x14ac:dyDescent="0.3">
      <c r="A5" s="19" t="s">
        <v>105</v>
      </c>
      <c r="B5" s="19">
        <v>77838188</v>
      </c>
      <c r="C5" s="32">
        <v>13281.81</v>
      </c>
      <c r="D5" s="20">
        <v>46336</v>
      </c>
      <c r="E5" s="19" t="s">
        <v>102</v>
      </c>
      <c r="F5" s="19" t="s">
        <v>103</v>
      </c>
      <c r="G5" s="19" t="str">
        <f t="shared" ca="1" si="0"/>
        <v>⚠ باقي 10 يوم</v>
      </c>
      <c r="H5" s="19"/>
      <c r="I5" s="19"/>
    </row>
    <row r="6" spans="1:9" x14ac:dyDescent="0.3">
      <c r="A6" s="19"/>
      <c r="B6" s="19"/>
      <c r="C6" s="32"/>
      <c r="D6" s="20"/>
      <c r="E6" s="19"/>
      <c r="F6" s="19"/>
      <c r="G6" s="19" t="str">
        <f t="shared" ca="1" si="0"/>
        <v/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120</v>
      </c>
      <c r="C2" s="51" t="s">
        <v>121</v>
      </c>
      <c r="D2" s="51" t="s">
        <v>89</v>
      </c>
      <c r="E2" s="51" t="s">
        <v>122</v>
      </c>
      <c r="F2" s="51" t="s">
        <v>87</v>
      </c>
      <c r="G2" s="51" t="s">
        <v>17</v>
      </c>
      <c r="H2" s="51" t="s">
        <v>18</v>
      </c>
      <c r="I2" s="51" t="s">
        <v>108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109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110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111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112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113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114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114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113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115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114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116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117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117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115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115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114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114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118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38500</v>
      </c>
      <c r="C279" s="32">
        <v>42500</v>
      </c>
      <c r="D279" s="31">
        <v>70</v>
      </c>
      <c r="F279" s="86">
        <v>46310</v>
      </c>
      <c r="G279" s="33">
        <v>402710.00000000006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114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119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4050</v>
      </c>
      <c r="C285" s="32">
        <v>4200</v>
      </c>
      <c r="D285" s="31">
        <v>72</v>
      </c>
      <c r="F285" s="86">
        <v>46313</v>
      </c>
      <c r="G285" s="33">
        <v>283500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4050</v>
      </c>
      <c r="C286" s="32">
        <v>4200</v>
      </c>
      <c r="D286" s="31">
        <v>72</v>
      </c>
      <c r="F286" s="86">
        <v>46313</v>
      </c>
      <c r="G286" s="33">
        <v>303750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115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A291" s="19" t="s">
        <v>11</v>
      </c>
      <c r="C291" s="32">
        <v>42000</v>
      </c>
      <c r="D291" s="31">
        <v>74</v>
      </c>
      <c r="F291" s="86">
        <v>46325</v>
      </c>
      <c r="G291" s="33">
        <v>0</v>
      </c>
      <c r="H291" s="33">
        <v>836220</v>
      </c>
      <c r="I291" s="33">
        <v>19.91</v>
      </c>
    </row>
    <row r="292" spans="1:16" x14ac:dyDescent="0.3">
      <c r="A292" s="19" t="s">
        <v>11</v>
      </c>
      <c r="C292" s="32">
        <v>42000</v>
      </c>
      <c r="D292" s="31">
        <v>74</v>
      </c>
      <c r="F292" s="86">
        <v>46325</v>
      </c>
      <c r="G292" s="33">
        <v>0</v>
      </c>
      <c r="H292" s="33">
        <v>828450.00000000012</v>
      </c>
      <c r="I292" s="33">
        <v>19.725000000000001</v>
      </c>
    </row>
    <row r="293" spans="1:16" x14ac:dyDescent="0.3">
      <c r="A293" s="19" t="s">
        <v>11</v>
      </c>
      <c r="C293" s="32">
        <v>42000</v>
      </c>
      <c r="D293" s="31">
        <v>74</v>
      </c>
      <c r="F293" s="86">
        <v>46325</v>
      </c>
      <c r="G293" s="33">
        <v>0</v>
      </c>
      <c r="H293" s="33">
        <v>502110</v>
      </c>
      <c r="I293" s="33">
        <v>11.955</v>
      </c>
    </row>
    <row r="294" spans="1:16" x14ac:dyDescent="0.3">
      <c r="A294" s="19" t="s">
        <v>11</v>
      </c>
      <c r="C294" s="32">
        <v>42000</v>
      </c>
      <c r="D294" s="31">
        <v>74</v>
      </c>
      <c r="F294" s="86">
        <v>46325</v>
      </c>
      <c r="G294" s="33">
        <v>0</v>
      </c>
      <c r="H294" s="33">
        <v>2084040</v>
      </c>
      <c r="I294" s="33">
        <v>49.62</v>
      </c>
    </row>
    <row r="295" spans="1:16" x14ac:dyDescent="0.3">
      <c r="A295" s="19" t="s">
        <v>15</v>
      </c>
      <c r="C295" s="32">
        <v>42400</v>
      </c>
      <c r="D295" s="31">
        <v>75</v>
      </c>
      <c r="F295" s="86">
        <v>46326</v>
      </c>
      <c r="G295" s="33">
        <v>0</v>
      </c>
      <c r="H295" s="33">
        <v>445836</v>
      </c>
      <c r="I295" s="33">
        <v>10.515000000000001</v>
      </c>
    </row>
    <row r="296" spans="1:16" x14ac:dyDescent="0.3">
      <c r="A296" s="19" t="s">
        <v>15</v>
      </c>
      <c r="C296" s="32">
        <v>42400</v>
      </c>
      <c r="D296" s="31">
        <v>75</v>
      </c>
      <c r="F296" s="86">
        <v>46326</v>
      </c>
      <c r="G296" s="33">
        <v>0</v>
      </c>
      <c r="H296" s="33">
        <v>671616</v>
      </c>
      <c r="I296" s="33">
        <v>15.84</v>
      </c>
    </row>
    <row r="297" spans="1:16" x14ac:dyDescent="0.3">
      <c r="A297" s="19" t="s">
        <v>15</v>
      </c>
      <c r="C297" s="32">
        <v>42400</v>
      </c>
      <c r="D297" s="31">
        <v>75</v>
      </c>
      <c r="F297" s="86">
        <v>46326</v>
      </c>
      <c r="G297" s="33">
        <v>0</v>
      </c>
      <c r="H297" s="33">
        <v>3096048</v>
      </c>
      <c r="I297" s="33">
        <v>73.02</v>
      </c>
    </row>
    <row r="298" spans="1:16" x14ac:dyDescent="0.3">
      <c r="A298" s="19" t="s">
        <v>15</v>
      </c>
      <c r="C298" s="32">
        <v>42400</v>
      </c>
      <c r="D298" s="31">
        <v>75</v>
      </c>
      <c r="F298" s="86">
        <v>46326</v>
      </c>
      <c r="G298" s="33">
        <v>0</v>
      </c>
      <c r="H298" s="33">
        <v>2739888</v>
      </c>
      <c r="I298" s="33">
        <v>64.62</v>
      </c>
    </row>
    <row r="299" spans="1:16" x14ac:dyDescent="0.3">
      <c r="A299" s="19" t="s">
        <v>15</v>
      </c>
      <c r="C299" s="32">
        <v>42400</v>
      </c>
      <c r="D299" s="31">
        <v>75</v>
      </c>
      <c r="F299" s="86">
        <v>46326</v>
      </c>
      <c r="G299" s="33">
        <v>0</v>
      </c>
      <c r="H299" s="33">
        <v>842700</v>
      </c>
      <c r="I299" s="33">
        <v>19.875</v>
      </c>
    </row>
    <row r="300" spans="1:16" x14ac:dyDescent="0.3">
      <c r="A300" s="19" t="s">
        <v>15</v>
      </c>
      <c r="C300" s="32">
        <v>42400</v>
      </c>
      <c r="D300" s="31">
        <v>75</v>
      </c>
      <c r="F300" s="86">
        <v>46326</v>
      </c>
      <c r="G300" s="33">
        <v>0</v>
      </c>
      <c r="H300" s="33">
        <v>678612</v>
      </c>
      <c r="I300" s="33">
        <v>16.004999999999999</v>
      </c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showWhiteSpace="0" zoomScale="98" zoomScaleNormal="98" workbookViewId="0">
      <selection activeCell="A19" sqref="A19:L36"/>
    </sheetView>
  </sheetViews>
  <sheetFormatPr defaultRowHeight="14.4" x14ac:dyDescent="0.3"/>
  <cols>
    <col min="1" max="1" width="12" customWidth="1"/>
    <col min="2" max="2" width="13.77734375" customWidth="1"/>
    <col min="3" max="3" width="16" hidden="1" customWidth="1"/>
    <col min="4" max="4" width="18.44140625" customWidth="1"/>
    <col min="5" max="5" width="12.109375" hidden="1" customWidth="1"/>
    <col min="6" max="6" width="20.88671875" customWidth="1"/>
    <col min="7" max="7" width="16.5546875" customWidth="1"/>
    <col min="8" max="8" width="14.88671875" customWidth="1"/>
    <col min="9" max="9" width="14.33203125" customWidth="1"/>
    <col min="10" max="10" width="18.886718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6" t="s">
        <v>88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</row>
    <row r="2" spans="1:12" ht="28.8" customHeight="1" x14ac:dyDescent="0.3">
      <c r="A2" s="36" t="s">
        <v>128</v>
      </c>
      <c r="B2" s="78" t="s">
        <v>124</v>
      </c>
      <c r="C2" s="79"/>
      <c r="D2" s="37" t="s">
        <v>125</v>
      </c>
      <c r="E2" s="38" t="s">
        <v>123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224616244.42777777</v>
      </c>
      <c r="I3" s="61">
        <v>63108707.320029244</v>
      </c>
      <c r="J3" s="61">
        <v>30070351.435818713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141</v>
      </c>
      <c r="L5" s="54" t="s">
        <v>107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22405748</v>
      </c>
      <c r="I6" s="55">
        <v>3866038.3157894723</v>
      </c>
      <c r="J6" s="55">
        <v>3866038.3157894723</v>
      </c>
      <c r="K6" s="57" t="s">
        <v>142</v>
      </c>
      <c r="L6" s="54" t="s">
        <v>107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143</v>
      </c>
      <c r="L7" s="54" t="s">
        <v>107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143</v>
      </c>
      <c r="L8" s="54" t="s">
        <v>107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0</v>
      </c>
      <c r="I9" s="55">
        <v>1164066</v>
      </c>
      <c r="J9" s="55">
        <v>1164066</v>
      </c>
      <c r="K9" s="57" t="s">
        <v>143</v>
      </c>
      <c r="L9" s="54" t="s">
        <v>107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130</v>
      </c>
      <c r="L10" s="54" t="s">
        <v>107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144</v>
      </c>
      <c r="L11" s="54" t="s">
        <v>107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131</v>
      </c>
      <c r="L12" s="54" t="s">
        <v>107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131</v>
      </c>
      <c r="L13" s="54" t="s">
        <v>107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127</v>
      </c>
      <c r="L14" s="54" t="s">
        <v>107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126</v>
      </c>
      <c r="L15" s="54" t="s">
        <v>107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126</v>
      </c>
      <c r="L16" s="54" t="s">
        <v>107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145</v>
      </c>
      <c r="L17" s="54" t="s">
        <v>107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145</v>
      </c>
      <c r="L18" s="54" t="s">
        <v>107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145</v>
      </c>
      <c r="L19" s="54" t="s">
        <v>107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2266129</v>
      </c>
      <c r="I20" s="55">
        <v>21891</v>
      </c>
      <c r="J20" s="55">
        <v>21891</v>
      </c>
      <c r="K20" s="57" t="s">
        <v>132</v>
      </c>
      <c r="L20" s="54" t="s">
        <v>107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146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147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38" priority="37" operator="containsText" text="✓">
      <formula>NOT(ISERROR(SEARCH("✓",F2)))</formula>
    </cfRule>
  </conditionalFormatting>
  <conditionalFormatting sqref="F2">
    <cfRule type="containsText" dxfId="37" priority="38" operator="containsText" text="✗">
      <formula>NOT(ISERROR(SEARCH("✗",F2)))</formula>
    </cfRule>
  </conditionalFormatting>
  <conditionalFormatting sqref="L5">
    <cfRule type="containsText" dxfId="36" priority="31" operator="containsText" text="مسدّد">
      <formula>NOT(ISERROR(SEARCH("مسدّد",L5)))</formula>
    </cfRule>
  </conditionalFormatting>
  <conditionalFormatting sqref="L5">
    <cfRule type="containsText" dxfId="35" priority="32" operator="containsText" text="مستحق">
      <formula>NOT(ISERROR(SEARCH("مستحق",L5)))</formula>
    </cfRule>
  </conditionalFormatting>
  <conditionalFormatting sqref="L5">
    <cfRule type="containsText" dxfId="34" priority="33" operator="containsText" text="قريب">
      <formula>NOT(ISERROR(SEARCH("قريب",L5)))</formula>
    </cfRule>
  </conditionalFormatting>
  <conditionalFormatting sqref="L5">
    <cfRule type="containsText" dxfId="33" priority="34" operator="containsText" text="جار">
      <formula>NOT(ISERROR(SEARCH("جار",L5)))</formula>
    </cfRule>
  </conditionalFormatting>
  <conditionalFormatting sqref="L5">
    <cfRule type="containsText" dxfId="32" priority="35" operator="containsText" text="بدون">
      <formula>NOT(ISERROR(SEARCH("بدون",L5)))</formula>
    </cfRule>
  </conditionalFormatting>
  <conditionalFormatting sqref="J5">
    <cfRule type="cellIs" dxfId="31" priority="36" operator="greaterThan">
      <formula>0</formula>
    </cfRule>
  </conditionalFormatting>
  <conditionalFormatting sqref="L6">
    <cfRule type="containsText" dxfId="30" priority="25" operator="containsText" text="مسدّد">
      <formula>NOT(ISERROR(SEARCH("مسدّد",L6)))</formula>
    </cfRule>
  </conditionalFormatting>
  <conditionalFormatting sqref="L6">
    <cfRule type="containsText" dxfId="29" priority="26" operator="containsText" text="مستحق">
      <formula>NOT(ISERROR(SEARCH("مستحق",L6)))</formula>
    </cfRule>
  </conditionalFormatting>
  <conditionalFormatting sqref="L6">
    <cfRule type="containsText" dxfId="28" priority="27" operator="containsText" text="قريب">
      <formula>NOT(ISERROR(SEARCH("قريب",L6)))</formula>
    </cfRule>
  </conditionalFormatting>
  <conditionalFormatting sqref="L6">
    <cfRule type="containsText" dxfId="27" priority="28" operator="containsText" text="جار">
      <formula>NOT(ISERROR(SEARCH("جار",L6)))</formula>
    </cfRule>
  </conditionalFormatting>
  <conditionalFormatting sqref="L6">
    <cfRule type="containsText" dxfId="26" priority="29" operator="containsText" text="بدون">
      <formula>NOT(ISERROR(SEARCH("بدون",L6)))</formula>
    </cfRule>
  </conditionalFormatting>
  <conditionalFormatting sqref="J6">
    <cfRule type="cellIs" dxfId="25" priority="30" operator="greaterThan">
      <formula>0</formula>
    </cfRule>
  </conditionalFormatting>
  <conditionalFormatting sqref="L7:L10">
    <cfRule type="containsText" dxfId="24" priority="19" operator="containsText" text="مسدّد">
      <formula>NOT(ISERROR(SEARCH("مسدّد",L7)))</formula>
    </cfRule>
  </conditionalFormatting>
  <conditionalFormatting sqref="L7:L10">
    <cfRule type="containsText" dxfId="23" priority="20" operator="containsText" text="مستحق">
      <formula>NOT(ISERROR(SEARCH("مستحق",L7)))</formula>
    </cfRule>
  </conditionalFormatting>
  <conditionalFormatting sqref="L7:L10">
    <cfRule type="containsText" dxfId="22" priority="21" operator="containsText" text="قريب">
      <formula>NOT(ISERROR(SEARCH("قريب",L7)))</formula>
    </cfRule>
  </conditionalFormatting>
  <conditionalFormatting sqref="L7:L10">
    <cfRule type="containsText" dxfId="21" priority="22" operator="containsText" text="جار">
      <formula>NOT(ISERROR(SEARCH("جار",L7)))</formula>
    </cfRule>
  </conditionalFormatting>
  <conditionalFormatting sqref="L7:L10">
    <cfRule type="containsText" dxfId="20" priority="23" operator="containsText" text="بدون">
      <formula>NOT(ISERROR(SEARCH("بدون",L7)))</formula>
    </cfRule>
  </conditionalFormatting>
  <conditionalFormatting sqref="J7:J10">
    <cfRule type="cellIs" dxfId="19" priority="24" operator="greaterThan">
      <formula>0</formula>
    </cfRule>
  </conditionalFormatting>
  <conditionalFormatting sqref="L11:L16">
    <cfRule type="containsText" dxfId="18" priority="13" operator="containsText" text="مسدّد">
      <formula>NOT(ISERROR(SEARCH("مسدّد",L11)))</formula>
    </cfRule>
  </conditionalFormatting>
  <conditionalFormatting sqref="L11:L16">
    <cfRule type="containsText" dxfId="17" priority="14" operator="containsText" text="مستحق">
      <formula>NOT(ISERROR(SEARCH("مستحق",L11)))</formula>
    </cfRule>
  </conditionalFormatting>
  <conditionalFormatting sqref="L11:L16">
    <cfRule type="containsText" dxfId="16" priority="15" operator="containsText" text="قريب">
      <formula>NOT(ISERROR(SEARCH("قريب",L11)))</formula>
    </cfRule>
  </conditionalFormatting>
  <conditionalFormatting sqref="L11:L16">
    <cfRule type="containsText" dxfId="15" priority="16" operator="containsText" text="جار">
      <formula>NOT(ISERROR(SEARCH("جار",L11)))</formula>
    </cfRule>
  </conditionalFormatting>
  <conditionalFormatting sqref="L11:L16">
    <cfRule type="containsText" dxfId="14" priority="17" operator="containsText" text="بدون">
      <formula>NOT(ISERROR(SEARCH("بدون",L11)))</formula>
    </cfRule>
  </conditionalFormatting>
  <conditionalFormatting sqref="J11:J16">
    <cfRule type="cellIs" dxfId="13" priority="18" operator="greaterThan">
      <formula>0</formula>
    </cfRule>
  </conditionalFormatting>
  <conditionalFormatting sqref="L17:L18">
    <cfRule type="containsText" dxfId="12" priority="7" operator="containsText" text="مسدّد">
      <formula>NOT(ISERROR(SEARCH("مسدّد",L17)))</formula>
    </cfRule>
  </conditionalFormatting>
  <conditionalFormatting sqref="L17:L18">
    <cfRule type="containsText" dxfId="11" priority="8" operator="containsText" text="مستحق">
      <formula>NOT(ISERROR(SEARCH("مستحق",L17)))</formula>
    </cfRule>
  </conditionalFormatting>
  <conditionalFormatting sqref="L17:L18">
    <cfRule type="containsText" dxfId="10" priority="9" operator="containsText" text="قريب">
      <formula>NOT(ISERROR(SEARCH("قريب",L17)))</formula>
    </cfRule>
  </conditionalFormatting>
  <conditionalFormatting sqref="L17:L18">
    <cfRule type="containsText" dxfId="9" priority="10" operator="containsText" text="جار">
      <formula>NOT(ISERROR(SEARCH("جار",L17)))</formula>
    </cfRule>
  </conditionalFormatting>
  <conditionalFormatting sqref="L17:L18">
    <cfRule type="containsText" dxfId="8" priority="11" operator="containsText" text="بدون">
      <formula>NOT(ISERROR(SEARCH("بدون",L17)))</formula>
    </cfRule>
  </conditionalFormatting>
  <conditionalFormatting sqref="J17:J18">
    <cfRule type="cellIs" dxfId="7" priority="12" operator="greaterThan">
      <formula>0</formula>
    </cfRule>
  </conditionalFormatting>
  <conditionalFormatting sqref="L19:L36">
    <cfRule type="containsText" dxfId="6" priority="1" operator="containsText" text="مسدّد">
      <formula>NOT(ISERROR(SEARCH("مسدّد",L19)))</formula>
    </cfRule>
  </conditionalFormatting>
  <conditionalFormatting sqref="L19:L36">
    <cfRule type="containsText" dxfId="5" priority="2" operator="containsText" text="مستحق">
      <formula>NOT(ISERROR(SEARCH("مستحق",L19)))</formula>
    </cfRule>
  </conditionalFormatting>
  <conditionalFormatting sqref="L19:L36">
    <cfRule type="containsText" dxfId="4" priority="3" operator="containsText" text="قريب">
      <formula>NOT(ISERROR(SEARCH("قريب",L19)))</formula>
    </cfRule>
  </conditionalFormatting>
  <conditionalFormatting sqref="L19:L36">
    <cfRule type="containsText" dxfId="3" priority="4" operator="containsText" text="جار">
      <formula>NOT(ISERROR(SEARCH("جار",L19)))</formula>
    </cfRule>
  </conditionalFormatting>
  <conditionalFormatting sqref="L19:L36">
    <cfRule type="containsText" dxfId="2" priority="5" operator="containsText" text="بدون">
      <formula>NOT(ISERROR(SEARCH("بدون",L19)))</formula>
    </cfRule>
  </conditionalFormatting>
  <conditionalFormatting sqref="J19:J36">
    <cfRule type="cellIs" dxfId="1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80" t="s">
        <v>40</v>
      </c>
      <c r="B1" s="81"/>
      <c r="C1" s="81"/>
      <c r="I1" s="84" t="s">
        <v>41</v>
      </c>
      <c r="J1" s="85"/>
      <c r="K1" s="85"/>
    </row>
    <row r="2" spans="1:11" ht="15.6" x14ac:dyDescent="0.3">
      <c r="A2" s="2" t="s">
        <v>42</v>
      </c>
      <c r="B2" s="82">
        <f>SUM(B4:B3000)-SUM(C4:C3000)</f>
        <v>67319256.404122859</v>
      </c>
      <c r="C2" s="83"/>
      <c r="I2" s="3" t="s">
        <v>42</v>
      </c>
      <c r="J2" s="82">
        <f>SUM(J4:J3000)-SUM(K4:K3000)</f>
        <v>-70822606</v>
      </c>
      <c r="K2" s="83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70822606</v>
      </c>
    </row>
    <row r="5" spans="1:11" ht="18" customHeight="1" x14ac:dyDescent="0.35">
      <c r="A5" s="6" t="s">
        <v>15</v>
      </c>
      <c r="B5" s="7">
        <v>0</v>
      </c>
      <c r="C5" s="7">
        <v>5251.3808771893382</v>
      </c>
    </row>
    <row r="6" spans="1:11" ht="18" customHeight="1" x14ac:dyDescent="0.35">
      <c r="A6" s="6" t="s">
        <v>8</v>
      </c>
      <c r="B6" s="7">
        <v>34462280.282894775</v>
      </c>
      <c r="C6" s="7">
        <v>0</v>
      </c>
    </row>
    <row r="7" spans="1:11" ht="18" customHeight="1" x14ac:dyDescent="0.35">
      <c r="A7" s="6" t="s">
        <v>11</v>
      </c>
      <c r="B7" s="7">
        <v>22323118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topLeftCell="A34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5" t="s">
        <v>69</v>
      </c>
      <c r="B1" s="75"/>
      <c r="C1" s="75"/>
      <c r="D1" s="75"/>
    </row>
    <row r="2" spans="1:4" x14ac:dyDescent="0.3">
      <c r="A2" s="21" t="s">
        <v>70</v>
      </c>
      <c r="B2" s="22">
        <v>17</v>
      </c>
      <c r="C2" s="23">
        <v>30200837.542134501</v>
      </c>
      <c r="D2" s="24">
        <v>13.058823529412621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20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17</v>
      </c>
    </row>
    <row r="6" spans="1:4" x14ac:dyDescent="0.3">
      <c r="A6" s="29" t="s">
        <v>15</v>
      </c>
      <c r="B6" s="26">
        <v>1</v>
      </c>
      <c r="C6" s="27">
        <v>130486.10631578974</v>
      </c>
      <c r="D6" s="28">
        <v>1</v>
      </c>
    </row>
    <row r="7" spans="1:4" x14ac:dyDescent="0.3">
      <c r="A7" s="29" t="s">
        <v>8</v>
      </c>
      <c r="B7" s="26">
        <v>8</v>
      </c>
      <c r="C7" s="27">
        <v>22466515.935818713</v>
      </c>
      <c r="D7" s="28">
        <v>12.5</v>
      </c>
    </row>
    <row r="8" spans="1:4" x14ac:dyDescent="0.3">
      <c r="A8" s="29" t="s">
        <v>11</v>
      </c>
      <c r="B8" s="26">
        <v>5</v>
      </c>
      <c r="C8" s="27">
        <v>7558815</v>
      </c>
      <c r="D8" s="28">
        <v>12.80000000000291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vsQYRXOZR2IxzPubkrcqsSoer69HUk0xdlANAc/67ISxRPb/kwfgnnKqWWm6Zoz86rNLIByVhelHiNPLHdbEIQ==" saltValue="Ekwx1imTj+7KFN6JHnMb2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2026-10-31T09:00:48Z</dcterms:modified>
</cp:coreProperties>
</file>