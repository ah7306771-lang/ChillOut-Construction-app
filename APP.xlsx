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15368396-02CF-4671-9FEA-6B27AB6E32FF}" xr6:coauthVersionLast="47" xr6:coauthVersionMax="47" xr10:uidLastSave="{00000000-0000-0000-0000-000000000000}"/>
  <bookViews>
    <workbookView xWindow="-108" yWindow="-108" windowWidth="23256" windowHeight="12576" firstSheet="3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<sst xmlns="http://schemas.openxmlformats.org/spreadsheetml/2006/main" count="736" uniqueCount="148">
  <si>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</si>
  <si>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</si>
  <si>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</si>
  <si>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</si>
  <si>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</si>
  <si>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</si>
  <si>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</si>
  <si>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</si>
  <si>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</si>
  <si>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</si>
  <si>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</si>
  <si>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</si>
  <si>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</si>
  <si>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</si>
  <si>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</si>
  <si>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</si>
  <si>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</si>
  <si>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</si>
  <si>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</si>
  <si>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</si>
  <si>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</si>
  <si>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</si>
  <si>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</si>
  <si>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</si>
  <si>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</si>
  <si>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</si>
  <si>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</si>
  <si>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</si>
  <si>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</si>
  <si>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</si>
  <si>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</si>
  <si>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</si>
  <si>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</si>
  <si>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</si>
  <si>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</si>
  <si>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</si>
  <si>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</si>
  <si>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</si>
  <si>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</si>
  <si>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</si>
  <si>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</si>
  <si>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</si>
  <si>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</si>
  <si>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</si>
  <si>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</si>
  <si>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</si>
  <si>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</si>
  <si>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</si>
  <si>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</si>
  <si>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</si>
  <si>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</si>
  <si>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</si>
  <si>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</si>
  <si>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</si>
  <si>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</si>
  <si>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</si>
  <si>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</si>
  <si>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</si>
  <si>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</si>
  <si>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</si>
  <si>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</si>
  <si>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</si>
  <si>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</si>
  <si>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</si>
  <si>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</si>
  <si>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</si>
  <si>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</si>
  <si>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</si>
  <si>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</si>
  <si>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</si>
  <si>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</si>
  <si>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</si>
  <si>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</si>
  <si>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</si>
  <si>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</si>
  <si>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</si>
  <si>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</si>
  <si>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</si>
  <si>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</si>
  <si>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</si>
  <si>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</si>
  <si>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</si>
  <si>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</si>
  <si>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</si>
  <si>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</si>
  <si>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</si>
  <si>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</si>
  <si>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</si>
  <si>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</si>
  <si>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</si>
  <si>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</si>
  <si>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</si>
  <si>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</si>
  <si>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</si>
  <si>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</si>
  <si>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</si>
  <si>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</si>
  <si>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</si>
  <si>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</si>
  <si>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</si>
  <si>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</si>
  <si>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</si>
  <si>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</si>
  <si>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</si>
  <si>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</si>
  <si>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</si>
  <si>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</si>
  <si>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</si>
  <si>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</si>
  <si>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</si>
  <si>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</si>
  <si>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</si>
  <si>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</si>
  <si>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</si>
  <si>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</si>
  <si>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</si>
  <si>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</si>
  <si>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</si>
  <si>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</si>
  <si>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</si>
  <si>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</si>
  <si>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</si>
  <si>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</si>
  <si>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🟢 جارٍ
28,042,623</t>
  </si>
  <si>
    <t>10 أيام</t>
  </si>
  <si>
    <t>🔔 قريب الاستحقاق
4,995,733</t>
  </si>
  <si>
    <t>11 يوم</t>
  </si>
  <si>
    <t>✅ مسدّد
194,049,435</t>
  </si>
  <si>
    <t>⚠ باقي 27 يوم</t>
  </si>
  <si>
    <t>15 يوم</t>
  </si>
  <si>
    <t>12 يوم</t>
  </si>
  <si>
    <t>3 أيام</t>
  </si>
  <si>
    <t>⚠ شيك متأخر 9 يوم</t>
  </si>
  <si>
    <t>⚠ شيك متأخر 4 يوم</t>
  </si>
  <si>
    <t>⚠ شيك متأخر 1 يوم</t>
  </si>
  <si>
    <t>⚠ باقي 1 يوم</t>
  </si>
  <si>
    <t>⚠ باقي 8 يوم</t>
  </si>
  <si>
    <t>⚠ باقي 24 يوم</t>
  </si>
  <si>
    <t>⚠ باقي 26 يوم</t>
  </si>
  <si>
    <t>⚠ باقي 30 يوم</t>
  </si>
  <si>
    <t>24 يوم</t>
  </si>
  <si>
    <t>19 يوم</t>
  </si>
  <si>
    <t>16 يوم</t>
  </si>
  <si>
    <t>13 يوم</t>
  </si>
  <si>
    <t>4 أيام</t>
  </si>
  <si>
    <t>🔔 متبقي 3 أيام</t>
  </si>
  <si>
    <t>🔔 متبقي 7 أيام</t>
  </si>
  <si>
    <t>⚠ متأخر
30,070,351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</si>
</sst>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49"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132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133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134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135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135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136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137</v>
      </c>
      <c r="H9" s="19" t="s">
        <v>106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138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128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139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104</v>
      </c>
      <c r="B3" s="19">
        <v>77838207</v>
      </c>
      <c r="C3" s="32">
        <v>290000</v>
      </c>
      <c r="D3" s="20">
        <v>46342</v>
      </c>
      <c r="E3" s="19" t="s">
        <v>102</v>
      </c>
      <c r="F3" s="19" t="s">
        <v>103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18 يوم</v>
      </c>
      <c r="H3" s="19"/>
      <c r="I3" s="19"/>
    </row>
    <row r="4" spans="1:9" x14ac:dyDescent="0.3">
      <c r="A4" s="19" t="s">
        <v>104</v>
      </c>
      <c r="B4" s="19">
        <v>77838208</v>
      </c>
      <c r="C4" s="32">
        <v>289000</v>
      </c>
      <c r="D4" s="20">
        <v>46372</v>
      </c>
      <c r="E4" s="19" t="s">
        <v>102</v>
      </c>
      <c r="F4" s="19" t="s">
        <v>103</v>
      </c>
      <c r="G4" s="19" t="str">
        <f t="shared" ca="1" si="0"/>
        <v>⚠ باقي 48 يوم</v>
      </c>
      <c r="H4" s="19"/>
      <c r="I4" s="19"/>
    </row>
    <row r="5" spans="1:9" x14ac:dyDescent="0.3">
      <c r="A5" s="19" t="s">
        <v>105</v>
      </c>
      <c r="B5" s="19">
        <v>77838188</v>
      </c>
      <c r="C5" s="32">
        <v>13281.81</v>
      </c>
      <c r="D5" s="20">
        <v>46336</v>
      </c>
      <c r="E5" s="19" t="s">
        <v>102</v>
      </c>
      <c r="F5" s="19" t="s">
        <v>103</v>
      </c>
      <c r="G5" s="19" t="str">
        <f t="shared" ca="1" si="0"/>
        <v>⚠ باقي 12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120</v>
      </c>
      <c r="C2" s="51" t="s">
        <v>121</v>
      </c>
      <c r="D2" s="51" t="s">
        <v>89</v>
      </c>
      <c r="E2" s="51" t="s">
        <v>122</v>
      </c>
      <c r="F2" s="51" t="s">
        <v>87</v>
      </c>
      <c r="G2" s="51" t="s">
        <v>17</v>
      </c>
      <c r="H2" s="51" t="s">
        <v>18</v>
      </c>
      <c r="I2" s="51" t="s">
        <v>108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109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110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111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112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113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114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114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113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115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114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116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117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117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115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115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114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114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118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38500</v>
      </c>
      <c r="C279" s="32">
        <v>42500</v>
      </c>
      <c r="D279" s="31">
        <v>70</v>
      </c>
      <c r="F279" s="86">
        <v>46310</v>
      </c>
      <c r="G279" s="33">
        <v>402710.00000000006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114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119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4050</v>
      </c>
      <c r="C285" s="32">
        <v>4200</v>
      </c>
      <c r="D285" s="31">
        <v>72</v>
      </c>
      <c r="F285" s="86">
        <v>46313</v>
      </c>
      <c r="G285" s="33">
        <v>283500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4050</v>
      </c>
      <c r="C286" s="32">
        <v>4200</v>
      </c>
      <c r="D286" s="31">
        <v>72</v>
      </c>
      <c r="F286" s="86">
        <v>46313</v>
      </c>
      <c r="G286" s="33">
        <v>303750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115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A19" sqref="A19:L36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6" t="s">
        <v>88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28.8" customHeight="1" x14ac:dyDescent="0.3">
      <c r="A2" s="36" t="s">
        <v>147</v>
      </c>
      <c r="B2" s="78" t="s">
        <v>125</v>
      </c>
      <c r="C2" s="79"/>
      <c r="D2" s="37" t="s">
        <v>127</v>
      </c>
      <c r="E2" s="38" t="s">
        <v>123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224616244.42777777</v>
      </c>
      <c r="I3" s="61">
        <v>63108707.320029244</v>
      </c>
      <c r="J3" s="61">
        <v>30070351.435818713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140</v>
      </c>
      <c r="L5" s="54" t="s">
        <v>107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22405748</v>
      </c>
      <c r="I6" s="55">
        <v>3866038.3157894723</v>
      </c>
      <c r="J6" s="55">
        <v>3866038.3157894723</v>
      </c>
      <c r="K6" s="57" t="s">
        <v>141</v>
      </c>
      <c r="L6" s="54" t="s">
        <v>107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142</v>
      </c>
      <c r="L7" s="54" t="s">
        <v>107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142</v>
      </c>
      <c r="L8" s="54" t="s">
        <v>107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0</v>
      </c>
      <c r="I9" s="55">
        <v>1164066</v>
      </c>
      <c r="J9" s="55">
        <v>1164066</v>
      </c>
      <c r="K9" s="57" t="s">
        <v>142</v>
      </c>
      <c r="L9" s="54" t="s">
        <v>107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129</v>
      </c>
      <c r="L10" s="54" t="s">
        <v>107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143</v>
      </c>
      <c r="L11" s="54" t="s">
        <v>107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130</v>
      </c>
      <c r="L12" s="54" t="s">
        <v>107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130</v>
      </c>
      <c r="L13" s="54" t="s">
        <v>107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126</v>
      </c>
      <c r="L14" s="54" t="s">
        <v>107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124</v>
      </c>
      <c r="L15" s="54" t="s">
        <v>107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124</v>
      </c>
      <c r="L16" s="54" t="s">
        <v>107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144</v>
      </c>
      <c r="L17" s="54" t="s">
        <v>107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144</v>
      </c>
      <c r="L18" s="54" t="s">
        <v>107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144</v>
      </c>
      <c r="L19" s="54" t="s">
        <v>107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2266129</v>
      </c>
      <c r="I20" s="55">
        <v>21891</v>
      </c>
      <c r="J20" s="55">
        <v>21891</v>
      </c>
      <c r="K20" s="57" t="s">
        <v>131</v>
      </c>
      <c r="L20" s="54" t="s">
        <v>107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145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146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8" priority="37" operator="containsText" text="✓">
      <formula>NOT(ISERROR(SEARCH("✓",F2)))</formula>
    </cfRule>
  </conditionalFormatting>
  <conditionalFormatting sqref="F2">
    <cfRule type="containsText" dxfId="37" priority="38" operator="containsText" text="✗">
      <formula>NOT(ISERROR(SEARCH("✗",F2)))</formula>
    </cfRule>
  </conditionalFormatting>
  <conditionalFormatting sqref="L5">
    <cfRule type="containsText" dxfId="36" priority="31" operator="containsText" text="مسدّد">
      <formula>NOT(ISERROR(SEARCH("مسدّد",L5)))</formula>
    </cfRule>
  </conditionalFormatting>
  <conditionalFormatting sqref="L5">
    <cfRule type="containsText" dxfId="35" priority="32" operator="containsText" text="مستحق">
      <formula>NOT(ISERROR(SEARCH("مستحق",L5)))</formula>
    </cfRule>
  </conditionalFormatting>
  <conditionalFormatting sqref="L5">
    <cfRule type="containsText" dxfId="34" priority="33" operator="containsText" text="قريب">
      <formula>NOT(ISERROR(SEARCH("قريب",L5)))</formula>
    </cfRule>
  </conditionalFormatting>
  <conditionalFormatting sqref="L5">
    <cfRule type="containsText" dxfId="33" priority="34" operator="containsText" text="جار">
      <formula>NOT(ISERROR(SEARCH("جار",L5)))</formula>
    </cfRule>
  </conditionalFormatting>
  <conditionalFormatting sqref="L5">
    <cfRule type="containsText" dxfId="32" priority="35" operator="containsText" text="بدون">
      <formula>NOT(ISERROR(SEARCH("بدون",L5)))</formula>
    </cfRule>
  </conditionalFormatting>
  <conditionalFormatting sqref="J5">
    <cfRule type="cellIs" dxfId="31" priority="36" operator="greaterThan">
      <formula>0</formula>
    </cfRule>
  </conditionalFormatting>
  <conditionalFormatting sqref="L6">
    <cfRule type="containsText" dxfId="30" priority="25" operator="containsText" text="مسدّد">
      <formula>NOT(ISERROR(SEARCH("مسدّد",L6)))</formula>
    </cfRule>
  </conditionalFormatting>
  <conditionalFormatting sqref="L6">
    <cfRule type="containsText" dxfId="29" priority="26" operator="containsText" text="مستحق">
      <formula>NOT(ISERROR(SEARCH("مستحق",L6)))</formula>
    </cfRule>
  </conditionalFormatting>
  <conditionalFormatting sqref="L6">
    <cfRule type="containsText" dxfId="28" priority="27" operator="containsText" text="قريب">
      <formula>NOT(ISERROR(SEARCH("قريب",L6)))</formula>
    </cfRule>
  </conditionalFormatting>
  <conditionalFormatting sqref="L6">
    <cfRule type="containsText" dxfId="27" priority="28" operator="containsText" text="جار">
      <formula>NOT(ISERROR(SEARCH("جار",L6)))</formula>
    </cfRule>
  </conditionalFormatting>
  <conditionalFormatting sqref="L6">
    <cfRule type="containsText" dxfId="26" priority="29" operator="containsText" text="بدون">
      <formula>NOT(ISERROR(SEARCH("بدون",L6)))</formula>
    </cfRule>
  </conditionalFormatting>
  <conditionalFormatting sqref="J6">
    <cfRule type="cellIs" dxfId="25" priority="30" operator="greaterThan">
      <formula>0</formula>
    </cfRule>
  </conditionalFormatting>
  <conditionalFormatting sqref="L7:L10">
    <cfRule type="containsText" dxfId="24" priority="19" operator="containsText" text="مسدّد">
      <formula>NOT(ISERROR(SEARCH("مسدّد",L7)))</formula>
    </cfRule>
  </conditionalFormatting>
  <conditionalFormatting sqref="L7:L10">
    <cfRule type="containsText" dxfId="23" priority="20" operator="containsText" text="مستحق">
      <formula>NOT(ISERROR(SEARCH("مستحق",L7)))</formula>
    </cfRule>
  </conditionalFormatting>
  <conditionalFormatting sqref="L7:L10">
    <cfRule type="containsText" dxfId="22" priority="21" operator="containsText" text="قريب">
      <formula>NOT(ISERROR(SEARCH("قريب",L7)))</formula>
    </cfRule>
  </conditionalFormatting>
  <conditionalFormatting sqref="L7:L10">
    <cfRule type="containsText" dxfId="21" priority="22" operator="containsText" text="جار">
      <formula>NOT(ISERROR(SEARCH("جار",L7)))</formula>
    </cfRule>
  </conditionalFormatting>
  <conditionalFormatting sqref="L7:L10">
    <cfRule type="containsText" dxfId="20" priority="23" operator="containsText" text="بدون">
      <formula>NOT(ISERROR(SEARCH("بدون",L7)))</formula>
    </cfRule>
  </conditionalFormatting>
  <conditionalFormatting sqref="J7:J10">
    <cfRule type="cellIs" dxfId="19" priority="24" operator="greaterThan">
      <formula>0</formula>
    </cfRule>
  </conditionalFormatting>
  <conditionalFormatting sqref="L11:L16">
    <cfRule type="containsText" dxfId="18" priority="13" operator="containsText" text="مسدّد">
      <formula>NOT(ISERROR(SEARCH("مسدّد",L11)))</formula>
    </cfRule>
  </conditionalFormatting>
  <conditionalFormatting sqref="L11:L16">
    <cfRule type="containsText" dxfId="17" priority="14" operator="containsText" text="مستحق">
      <formula>NOT(ISERROR(SEARCH("مستحق",L11)))</formula>
    </cfRule>
  </conditionalFormatting>
  <conditionalFormatting sqref="L11:L16">
    <cfRule type="containsText" dxfId="16" priority="15" operator="containsText" text="قريب">
      <formula>NOT(ISERROR(SEARCH("قريب",L11)))</formula>
    </cfRule>
  </conditionalFormatting>
  <conditionalFormatting sqref="L11:L16">
    <cfRule type="containsText" dxfId="15" priority="16" operator="containsText" text="جار">
      <formula>NOT(ISERROR(SEARCH("جار",L11)))</formula>
    </cfRule>
  </conditionalFormatting>
  <conditionalFormatting sqref="L11:L16">
    <cfRule type="containsText" dxfId="14" priority="17" operator="containsText" text="بدون">
      <formula>NOT(ISERROR(SEARCH("بدون",L11)))</formula>
    </cfRule>
  </conditionalFormatting>
  <conditionalFormatting sqref="J11:J16">
    <cfRule type="cellIs" dxfId="13" priority="18" operator="greaterThan">
      <formula>0</formula>
    </cfRule>
  </conditionalFormatting>
  <conditionalFormatting sqref="L17:L18">
    <cfRule type="containsText" dxfId="12" priority="7" operator="containsText" text="مسدّد">
      <formula>NOT(ISERROR(SEARCH("مسدّد",L17)))</formula>
    </cfRule>
  </conditionalFormatting>
  <conditionalFormatting sqref="L17:L18">
    <cfRule type="containsText" dxfId="11" priority="8" operator="containsText" text="مستحق">
      <formula>NOT(ISERROR(SEARCH("مستحق",L17)))</formula>
    </cfRule>
  </conditionalFormatting>
  <conditionalFormatting sqref="L17:L18">
    <cfRule type="containsText" dxfId="10" priority="9" operator="containsText" text="قريب">
      <formula>NOT(ISERROR(SEARCH("قريب",L17)))</formula>
    </cfRule>
  </conditionalFormatting>
  <conditionalFormatting sqref="L17:L18">
    <cfRule type="containsText" dxfId="9" priority="10" operator="containsText" text="جار">
      <formula>NOT(ISERROR(SEARCH("جار",L17)))</formula>
    </cfRule>
  </conditionalFormatting>
  <conditionalFormatting sqref="L17:L18">
    <cfRule type="containsText" dxfId="8" priority="11" operator="containsText" text="بدون">
      <formula>NOT(ISERROR(SEARCH("بدون",L17)))</formula>
    </cfRule>
  </conditionalFormatting>
  <conditionalFormatting sqref="J17:J18">
    <cfRule type="cellIs" dxfId="7" priority="12" operator="greaterThan">
      <formula>0</formula>
    </cfRule>
  </conditionalFormatting>
  <conditionalFormatting sqref="L19:L36">
    <cfRule type="containsText" dxfId="6" priority="1" operator="containsText" text="مسدّد">
      <formula>NOT(ISERROR(SEARCH("مسدّد",L19)))</formula>
    </cfRule>
  </conditionalFormatting>
  <conditionalFormatting sqref="L19:L36">
    <cfRule type="containsText" dxfId="5" priority="2" operator="containsText" text="مستحق">
      <formula>NOT(ISERROR(SEARCH("مستحق",L19)))</formula>
    </cfRule>
  </conditionalFormatting>
  <conditionalFormatting sqref="L19:L36">
    <cfRule type="containsText" dxfId="4" priority="3" operator="containsText" text="قريب">
      <formula>NOT(ISERROR(SEARCH("قريب",L19)))</formula>
    </cfRule>
  </conditionalFormatting>
  <conditionalFormatting sqref="L19:L36">
    <cfRule type="containsText" dxfId="3" priority="4" operator="containsText" text="جار">
      <formula>NOT(ISERROR(SEARCH("جار",L19)))</formula>
    </cfRule>
  </conditionalFormatting>
  <conditionalFormatting sqref="L19:L36">
    <cfRule type="containsText" dxfId="2" priority="5" operator="containsText" text="بدون">
      <formula>NOT(ISERROR(SEARCH("بدون",L19)))</formula>
    </cfRule>
  </conditionalFormatting>
  <conditionalFormatting sqref="J19:J36">
    <cfRule type="cellIs" dxfId="1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80" t="s">
        <v>40</v>
      </c>
      <c r="B1" s="81"/>
      <c r="C1" s="81"/>
      <c r="I1" s="84" t="s">
        <v>41</v>
      </c>
      <c r="J1" s="85"/>
      <c r="K1" s="85"/>
    </row>
    <row r="2" spans="1:11" ht="15.6" x14ac:dyDescent="0.3">
      <c r="A2" s="2" t="s">
        <v>42</v>
      </c>
      <c r="B2" s="82">
        <f>SUM(B4:B3000)-SUM(C4:C3000)</f>
        <v>54667971.877807066</v>
      </c>
      <c r="C2" s="83"/>
      <c r="I2" s="3" t="s">
        <v>42</v>
      </c>
      <c r="J2" s="82">
        <f>SUM(J4:J3000)-SUM(K4:K3000)</f>
        <v>-70822606</v>
      </c>
      <c r="K2" s="83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70822606</v>
      </c>
    </row>
    <row r="5" spans="1:11" ht="18" customHeight="1" x14ac:dyDescent="0.35">
      <c r="A5" s="6" t="s">
        <v>15</v>
      </c>
      <c r="B5" s="7">
        <v>0</v>
      </c>
      <c r="C5" s="7">
        <v>8405715.9071929809</v>
      </c>
    </row>
    <row r="6" spans="1:11" ht="18" customHeight="1" x14ac:dyDescent="0.35">
      <c r="A6" s="6" t="s">
        <v>8</v>
      </c>
      <c r="B6" s="7">
        <v>34462280.282894775</v>
      </c>
      <c r="C6" s="7">
        <v>0</v>
      </c>
    </row>
    <row r="7" spans="1:11" ht="18" customHeight="1" x14ac:dyDescent="0.35">
      <c r="A7" s="6" t="s">
        <v>11</v>
      </c>
      <c r="B7" s="7">
        <v>18072298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topLeftCell="A34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5" t="s">
        <v>69</v>
      </c>
      <c r="B1" s="75"/>
      <c r="C1" s="75"/>
      <c r="D1" s="75"/>
    </row>
    <row r="2" spans="1:4" x14ac:dyDescent="0.3">
      <c r="A2" s="21" t="s">
        <v>70</v>
      </c>
      <c r="B2" s="22">
        <v>16</v>
      </c>
      <c r="C2" s="23">
        <v>30070351.435818713</v>
      </c>
      <c r="D2" s="24">
        <v>11.8125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18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15</v>
      </c>
    </row>
    <row r="6" spans="1:4" x14ac:dyDescent="0.3">
      <c r="A6" s="29" t="s">
        <v>8</v>
      </c>
      <c r="B6" s="26">
        <v>8</v>
      </c>
      <c r="C6" s="27">
        <v>22466515.935818713</v>
      </c>
      <c r="D6" s="28">
        <v>10.5</v>
      </c>
    </row>
    <row r="7" spans="1:4" x14ac:dyDescent="0.3">
      <c r="A7" s="29" t="s">
        <v>11</v>
      </c>
      <c r="B7" s="26">
        <v>5</v>
      </c>
      <c r="C7" s="27">
        <v>7558815</v>
      </c>
      <c r="D7" s="28">
        <v>10.80000000000291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XZC2CkJ5I9+MPObGnwGO0Qp+b54ZVIAA6pxyVsUeyVcN8+vUNd8VBKbbt0Ff2OeNZ2KSNmm0q8QoZmXUgju/4g==" saltValue="m0OyR4CeWYIlQifEz/FHt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2026-10-29T10:23:04Z</dcterms:modified>
</cp:coreProperties>
</file>