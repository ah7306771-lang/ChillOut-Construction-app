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0901290-A7B8-4229-8991-869E5DE17089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<sst xmlns="http://schemas.openxmlformats.org/spreadsheetml/2006/main" count="964" uniqueCount="147">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</sst>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6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76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76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76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76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76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76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76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76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76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76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76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76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76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76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76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6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6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6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6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6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6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6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6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6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6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6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6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6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6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6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6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6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6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6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6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6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7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7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7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7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7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7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7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7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7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7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7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6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6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6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6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6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6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6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6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6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6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6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6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6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6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6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6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6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6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6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6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6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6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6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6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6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6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6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6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6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6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6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6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6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6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6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6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6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6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6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6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6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6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6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6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6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6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6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6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6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6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6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6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6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6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6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6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6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6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6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6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6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6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6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6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6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6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6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6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6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6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6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6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6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6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6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6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6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6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6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6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6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6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6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6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6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6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6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6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6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6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6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6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6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6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6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6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6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6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6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6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6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6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6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6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6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6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6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6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6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6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6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6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6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6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6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6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6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6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6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6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6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6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6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6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6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6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6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6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6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6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6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6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6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6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6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6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6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6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6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6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6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6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6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6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6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6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6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6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6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6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6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6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6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6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6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6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6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6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6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6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6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6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6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6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6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6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6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6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6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6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6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6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6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6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6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6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6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6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76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76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76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76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76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76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76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76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76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76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76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76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76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76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76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76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76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76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76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76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76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76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76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76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76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76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76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76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76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76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76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76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76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76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76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76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76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76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76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76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76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76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76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76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76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76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76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76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76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76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76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76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76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76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76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76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76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76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76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76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76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76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76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76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76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76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76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76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76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76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76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76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76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76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76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76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76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76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5" t="s">
        <v>98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 spans="1:12" ht="31.8" customHeight="1" x14ac:dyDescent="0.3">
      <c r="A2" s="36" t="s">
        <v>144</v>
      </c>
      <c r="B2" s="67" t="s">
        <v>138</v>
      </c>
      <c r="C2" s="68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3" priority="13" operator="containsText" text="✓">
      <formula>NOT(ISERROR(SEARCH("✓",F2)))</formula>
    </cfRule>
  </conditionalFormatting>
  <conditionalFormatting sqref="F2">
    <cfRule type="containsText" dxfId="12" priority="14" operator="containsText" text="✗">
      <formula>NOT(ISERROR(SEARCH("✗",F2)))</formula>
    </cfRule>
  </conditionalFormatting>
  <conditionalFormatting sqref="L5:L6">
    <cfRule type="containsText" dxfId="11" priority="7" operator="containsText" text="مسدّد">
      <formula>NOT(ISERROR(SEARCH("مسدّد",L5)))</formula>
    </cfRule>
  </conditionalFormatting>
  <conditionalFormatting sqref="L5:L6">
    <cfRule type="containsText" dxfId="10" priority="8" operator="containsText" text="مستحق">
      <formula>NOT(ISERROR(SEARCH("مستحق",L5)))</formula>
    </cfRule>
  </conditionalFormatting>
  <conditionalFormatting sqref="L5:L6">
    <cfRule type="containsText" dxfId="9" priority="9" operator="containsText" text="قريب">
      <formula>NOT(ISERROR(SEARCH("قريب",L5)))</formula>
    </cfRule>
  </conditionalFormatting>
  <conditionalFormatting sqref="L5:L6">
    <cfRule type="containsText" dxfId="8" priority="10" operator="containsText" text="جار">
      <formula>NOT(ISERROR(SEARCH("جار",L5)))</formula>
    </cfRule>
  </conditionalFormatting>
  <conditionalFormatting sqref="L5:L6">
    <cfRule type="containsText" dxfId="7" priority="11" operator="containsText" text="بدون">
      <formula>NOT(ISERROR(SEARCH("بدون",L5)))</formula>
    </cfRule>
  </conditionalFormatting>
  <conditionalFormatting sqref="J5:J6">
    <cfRule type="cellIs" dxfId="6" priority="12" operator="greaterThan">
      <formula>0</formula>
    </cfRule>
  </conditionalFormatting>
  <conditionalFormatting sqref="L7:L36">
    <cfRule type="containsText" dxfId="5" priority="1" operator="containsText" text="مسدّد">
      <formula>NOT(ISERROR(SEARCH("مسدّد",L7)))</formula>
    </cfRule>
  </conditionalFormatting>
  <conditionalFormatting sqref="L7:L36">
    <cfRule type="containsText" dxfId="4" priority="2" operator="containsText" text="مستحق">
      <formula>NOT(ISERROR(SEARCH("مستحق",L7)))</formula>
    </cfRule>
  </conditionalFormatting>
  <conditionalFormatting sqref="L7:L36">
    <cfRule type="containsText" dxfId="3" priority="3" operator="containsText" text="قريب">
      <formula>NOT(ISERROR(SEARCH("قريب",L7)))</formula>
    </cfRule>
  </conditionalFormatting>
  <conditionalFormatting sqref="L7:L36">
    <cfRule type="containsText" dxfId="2" priority="4" operator="containsText" text="جار">
      <formula>NOT(ISERROR(SEARCH("جار",L7)))</formula>
    </cfRule>
  </conditionalFormatting>
  <conditionalFormatting sqref="L7:L36">
    <cfRule type="containsText" dxfId="1" priority="5" operator="containsText" text="بدون">
      <formula>NOT(ISERROR(SEARCH("بدون",L7)))</formula>
    </cfRule>
  </conditionalFormatting>
  <conditionalFormatting sqref="J7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9" t="s">
        <v>49</v>
      </c>
      <c r="B1" s="70"/>
      <c r="C1" s="70"/>
      <c r="I1" s="73" t="s">
        <v>50</v>
      </c>
      <c r="J1" s="74"/>
      <c r="K1" s="74"/>
    </row>
    <row r="2" spans="1:11" ht="15.6" x14ac:dyDescent="0.3">
      <c r="A2" s="2" t="s">
        <v>51</v>
      </c>
      <c r="B2" s="71">
        <f>SUM(B4:B3000)-SUM(C4:C3000)</f>
        <v>112520888.97833338</v>
      </c>
      <c r="C2" s="72"/>
      <c r="I2" s="3" t="s">
        <v>51</v>
      </c>
      <c r="J2" s="71">
        <f>SUM(J4:J3000)-SUM(K4:K3000)</f>
        <v>-102403148.5</v>
      </c>
      <c r="K2" s="72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78</v>
      </c>
      <c r="B1" s="75"/>
      <c r="C1" s="75"/>
      <c r="D1" s="75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YcF3l7MhOdyC0TAnYWB9wIgC5nbbztoVIyGx5oqqzUbfLFmaNdMm8pG8bXnvaI31wNcAZmEh1uLl/ljZ2JZe2Q==" saltValue="BdTdZINP51B32RKdnhFSmA==" spinCount="100000" sheet="1" objects="1" scenarios="1"/>
  <mergeCells count="1">
    <mergeCell ref="A1:D1"/>
  </mergeCells>
  <conditionalFormatting sqref="A4:D20">
    <cfRule type="expression" dxfId="14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2026-10-15T13:59:54Z</dcterms:modified>
</cp:coreProperties>
</file>