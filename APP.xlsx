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69E003A-036C-46B5-9DBB-381635869AED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<sst xmlns="http://schemas.openxmlformats.org/spreadsheetml/2006/main" count="777" uniqueCount="146">
  <si>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</si>
  <si>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</si>
  <si>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</si>
  <si>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</si>
  <si>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</si>
  <si>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</si>
  <si>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</si>
  <si>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</si>
  <si>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</si>
  <si>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</si>
  <si>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</si>
  <si>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</si>
  <si>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</si>
  <si>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</si>
  <si>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</si>
  <si>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</si>
  <si>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</si>
  <si>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</si>
  <si>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</si>
  <si>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</si>
  <si>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</si>
  <si>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</si>
  <si>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</si>
  <si>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</si>
  <si>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</si>
  <si>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</si>
  <si>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</si>
  <si>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</si>
  <si>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</si>
  <si>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</si>
  <si>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</si>
  <si>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</si>
  <si>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</si>
  <si>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</si>
  <si>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</si>
  <si>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</si>
  <si>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</si>
  <si>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</si>
  <si>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</si>
  <si>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</si>
  <si>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</si>
  <si>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</si>
  <si>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</si>
  <si>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</si>
  <si>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</si>
  <si>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</si>
  <si>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</si>
  <si>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</si>
  <si>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</si>
  <si>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</si>
  <si>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</si>
  <si>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</si>
  <si>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</si>
  <si>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</si>
  <si>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</si>
  <si>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</si>
  <si>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</si>
  <si>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</si>
  <si>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</si>
  <si>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</si>
  <si>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</si>
  <si>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</si>
  <si>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</si>
  <si>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</si>
  <si>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</si>
  <si>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</si>
  <si>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</si>
  <si>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</si>
  <si>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</si>
  <si>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</si>
  <si>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</si>
  <si>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</si>
  <si>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</si>
  <si>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</si>
  <si>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</si>
  <si>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</si>
  <si>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</si>
  <si>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</si>
  <si>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</si>
  <si>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</si>
  <si>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</si>
  <si>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</si>
  <si>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</si>
  <si>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</si>
  <si>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</si>
  <si>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</si>
  <si>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</si>
  <si>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</si>
  <si>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</si>
  <si>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</si>
  <si>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</si>
  <si>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</si>
  <si>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</si>
  <si>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</si>
  <si>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</si>
  <si>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</si>
  <si>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</si>
  <si>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</si>
  <si>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</si>
  <si>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</si>
  <si>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</si>
  <si>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</si>
  <si>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</si>
  <si>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</si>
  <si>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</si>
  <si>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</si>
  <si>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</si>
  <si>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</si>
  <si>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</si>
  <si>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</si>
  <si>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</si>
  <si>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</si>
  <si>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</si>
  <si>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</si>
  <si>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</si>
  <si>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</si>
  <si>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</si>
  <si>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</si>
  <si>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9 أيام</t>
  </si>
  <si>
    <t>8 أيام</t>
  </si>
  <si>
    <t>3 أيام</t>
  </si>
  <si>
    <t>⚠ باقي 4 يوم</t>
  </si>
  <si>
    <t>10 أيام</t>
  </si>
  <si>
    <t>4 أيام</t>
  </si>
  <si>
    <t>⚠ باقي 3 يوم</t>
  </si>
  <si>
    <t>⚠ باقي 34 يوم</t>
  </si>
  <si>
    <t>5 أيام</t>
  </si>
  <si>
    <t>🔔 متبقي 5 أيام</t>
  </si>
  <si>
    <t>⚠ مستحق النهاردة</t>
  </si>
  <si>
    <t>⚠ شيك متأخر 2 يوم</t>
  </si>
  <si>
    <t>⚠ باقي 2 يوم</t>
  </si>
  <si>
    <t>⚠ باقي 6 يوم</t>
  </si>
  <si>
    <t>⚠ باقي 33 يوم</t>
  </si>
  <si>
    <t>⚠ باقي 37 يوم</t>
  </si>
  <si>
    <t>⚠ باقي 8 يوم</t>
  </si>
  <si>
    <t>⚠ باقي 31 يوم</t>
  </si>
  <si>
    <t>⚠ باقي 15 يوم</t>
  </si>
  <si>
    <t>🔔 قريب الاستحقاق
25,080,128</t>
  </si>
  <si>
    <t>🟢 جارٍ
30,438,356</t>
  </si>
  <si>
    <t>14 يوم</t>
  </si>
  <si>
    <t>12 يوم</t>
  </si>
  <si>
    <t>6 أيام</t>
  </si>
  <si>
    <t>🔔 متبقي 4 أيام</t>
  </si>
  <si>
    <t>🔔 قريب</t>
  </si>
  <si>
    <t>⚠ متأخر
41,126,379</t>
  </si>
  <si>
    <t>✅ مسدّد
182,556,778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</si>
</sst>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9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B6" sqref="B5:B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83">
        <v>46317</v>
      </c>
      <c r="E3" s="19" t="s">
        <v>15</v>
      </c>
      <c r="F3" s="19" t="s">
        <v>10</v>
      </c>
      <c r="G3" s="19" t="s">
        <v>128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83">
        <v>46321</v>
      </c>
      <c r="E4" s="19" t="s">
        <v>9</v>
      </c>
      <c r="F4" s="19" t="s">
        <v>10</v>
      </c>
      <c r="G4" s="19" t="s">
        <v>121</v>
      </c>
      <c r="H4" s="19" t="s">
        <v>116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83">
        <v>46321</v>
      </c>
      <c r="E5" s="19" t="s">
        <v>9</v>
      </c>
      <c r="F5" s="19" t="s">
        <v>10</v>
      </c>
      <c r="G5" s="19" t="s">
        <v>121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83">
        <v>46315</v>
      </c>
      <c r="E6" s="19" t="s">
        <v>12</v>
      </c>
      <c r="F6" s="19" t="s">
        <v>10</v>
      </c>
      <c r="G6" s="19" t="s">
        <v>129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83">
        <v>46319</v>
      </c>
      <c r="E7" s="19" t="s">
        <v>12</v>
      </c>
      <c r="F7" s="19" t="s">
        <v>10</v>
      </c>
      <c r="G7" s="19" t="s">
        <v>130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83">
        <v>46320</v>
      </c>
      <c r="E8" s="19" t="s">
        <v>105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83">
        <v>46323</v>
      </c>
      <c r="E9" s="19" t="s">
        <v>106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105</v>
      </c>
      <c r="F11" s="19" t="s">
        <v>10</v>
      </c>
      <c r="G11" s="19" t="s">
        <v>125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133</v>
      </c>
      <c r="H12" s="19"/>
      <c r="I12" s="19"/>
    </row>
    <row r="13" spans="1:9" x14ac:dyDescent="0.3">
      <c r="A13" s="19" t="s">
        <v>107</v>
      </c>
      <c r="B13" s="19">
        <v>74668</v>
      </c>
      <c r="C13" s="19">
        <v>1400000</v>
      </c>
      <c r="D13" s="83">
        <v>46325</v>
      </c>
      <c r="E13" s="19" t="s">
        <v>9</v>
      </c>
      <c r="F13" s="19" t="s">
        <v>10</v>
      </c>
      <c r="G13" s="19" t="s">
        <v>134</v>
      </c>
      <c r="H13" s="19"/>
      <c r="I13" s="19"/>
    </row>
    <row r="14" spans="1:9" x14ac:dyDescent="0.3">
      <c r="A14" s="19" t="s">
        <v>107</v>
      </c>
      <c r="B14" s="19">
        <v>74669</v>
      </c>
      <c r="C14" s="19">
        <v>1200000</v>
      </c>
      <c r="D14" s="83">
        <v>46325</v>
      </c>
      <c r="E14" s="19" t="s">
        <v>9</v>
      </c>
      <c r="F14" s="19" t="s">
        <v>10</v>
      </c>
      <c r="G14" s="19" t="s">
        <v>134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83">
        <v>46348</v>
      </c>
      <c r="E15" s="19"/>
      <c r="F15" s="19" t="s">
        <v>10</v>
      </c>
      <c r="G15" s="19" t="s">
        <v>135</v>
      </c>
      <c r="H15" s="19" t="s">
        <v>115</v>
      </c>
      <c r="I15" s="19"/>
    </row>
    <row r="16" spans="1:9" x14ac:dyDescent="0.3">
      <c r="A16" s="19" t="s">
        <v>107</v>
      </c>
      <c r="B16" s="19">
        <v>74675</v>
      </c>
      <c r="C16" s="19">
        <v>2395732.5</v>
      </c>
      <c r="D16" s="83">
        <v>46332</v>
      </c>
      <c r="E16" s="19" t="s">
        <v>9</v>
      </c>
      <c r="F16" s="19" t="s">
        <v>10</v>
      </c>
      <c r="G16" s="19" t="s">
        <v>136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109</v>
      </c>
      <c r="B2" s="17" t="s">
        <v>1</v>
      </c>
      <c r="C2" s="60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110</v>
      </c>
      <c r="B3" s="19">
        <v>77838205</v>
      </c>
      <c r="C3" s="32">
        <v>30000000</v>
      </c>
      <c r="D3" s="20">
        <v>46315</v>
      </c>
      <c r="E3" s="19" t="s">
        <v>111</v>
      </c>
      <c r="F3" s="19" t="s">
        <v>112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110</v>
      </c>
      <c r="B4" s="19">
        <v>77838206</v>
      </c>
      <c r="C4" s="32">
        <v>30000000</v>
      </c>
      <c r="D4" s="20">
        <v>46320</v>
      </c>
      <c r="E4" s="19" t="s">
        <v>111</v>
      </c>
      <c r="F4" s="19" t="s">
        <v>112</v>
      </c>
      <c r="G4" s="19" t="str">
        <f ca="1">IF(D4="","",IF(D4&lt;TODAY(),"⛔ متأخر "&amp;TODAY()-D4&amp;" يوم",IF(D4=TODAY(),"🔔 مستحق اليوم","⚠ باقي "&amp;D4-TODAY()&amp;" يوم")))</f>
        <v>⚠ باقي 3 يوم</v>
      </c>
      <c r="H4" s="19"/>
      <c r="I4" s="19"/>
    </row>
    <row r="5" spans="1:9" x14ac:dyDescent="0.3">
      <c r="A5" s="19" t="s">
        <v>113</v>
      </c>
      <c r="B5" s="19">
        <v>77838207</v>
      </c>
      <c r="C5" s="32">
        <v>290000</v>
      </c>
      <c r="D5" s="20">
        <v>46342</v>
      </c>
      <c r="E5" s="19" t="s">
        <v>111</v>
      </c>
      <c r="F5" s="19" t="s">
        <v>112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25 يوم</v>
      </c>
      <c r="H5" s="19"/>
      <c r="I5" s="19"/>
    </row>
    <row r="6" spans="1:9" x14ac:dyDescent="0.3">
      <c r="A6" s="19" t="s">
        <v>113</v>
      </c>
      <c r="B6" s="19">
        <v>77838208</v>
      </c>
      <c r="C6" s="32">
        <v>289000</v>
      </c>
      <c r="D6" s="20">
        <v>46372</v>
      </c>
      <c r="E6" s="19" t="s">
        <v>111</v>
      </c>
      <c r="F6" s="19" t="s">
        <v>112</v>
      </c>
      <c r="G6" s="19" t="str">
        <f t="shared" ca="1" si="0"/>
        <v>⚠ باقي 55 يوم</v>
      </c>
      <c r="H6" s="19"/>
      <c r="I6" s="19"/>
    </row>
    <row r="7" spans="1:9" x14ac:dyDescent="0.3">
      <c r="A7" s="19" t="s">
        <v>114</v>
      </c>
      <c r="B7" s="19">
        <v>77838188</v>
      </c>
      <c r="C7" s="32">
        <v>13281.81</v>
      </c>
      <c r="D7" s="20">
        <v>46336</v>
      </c>
      <c r="E7" s="19" t="s">
        <v>111</v>
      </c>
      <c r="F7" s="19" t="s">
        <v>112</v>
      </c>
      <c r="G7" s="19" t="str">
        <f t="shared" ca="1" si="0"/>
        <v>⚠ باقي 19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4"/>
  <sheetViews>
    <sheetView rightToLeft="1" tabSelected="1" workbookViewId="0">
      <selection activeCell="B4" sqref="B4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5.77734375" style="19" bestFit="1" customWidth="1"/>
    <col min="6" max="6" width="12.109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8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83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83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83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83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8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8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8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8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8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8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8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8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8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8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8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8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8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8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8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8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8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8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8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8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8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84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84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84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84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84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84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83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83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83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83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83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83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83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83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83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83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83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83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83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83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83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83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83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83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83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83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83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83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83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83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83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83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83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8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83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83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83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8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83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8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83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83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8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83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83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83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83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83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8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83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83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83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83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83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83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83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83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83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83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83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83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83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83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83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83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83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83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83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83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83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83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83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83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8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83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83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83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83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83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83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83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83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83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83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8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8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8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8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8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8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8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83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83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83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83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8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8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8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8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8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8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83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F131" s="83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F132" s="83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F133" s="83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F134" s="8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8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8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8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8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8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8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8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8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8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8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8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8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8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8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8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8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8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8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8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8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8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8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8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8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8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8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8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8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8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8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83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83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83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8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8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8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8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8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8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8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83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83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83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83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83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83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83">
        <v>46256</v>
      </c>
      <c r="G181" s="34">
        <v>6224850</v>
      </c>
      <c r="H181" s="34">
        <v>6271830</v>
      </c>
    </row>
    <row r="182" spans="1:8" x14ac:dyDescent="0.3">
      <c r="F182" s="20"/>
    </row>
    <row r="183" spans="1:8" x14ac:dyDescent="0.3">
      <c r="F183" s="20"/>
    </row>
    <row r="184" spans="1:8" x14ac:dyDescent="0.3">
      <c r="F184" s="20"/>
    </row>
    <row r="185" spans="1:8" x14ac:dyDescent="0.3">
      <c r="F185" s="20"/>
    </row>
    <row r="186" spans="1:8" x14ac:dyDescent="0.3">
      <c r="F186" s="20"/>
    </row>
    <row r="187" spans="1:8" x14ac:dyDescent="0.3">
      <c r="F187" s="20"/>
    </row>
    <row r="188" spans="1:8" x14ac:dyDescent="0.3">
      <c r="F188" s="20"/>
    </row>
    <row r="189" spans="1:8" x14ac:dyDescent="0.3">
      <c r="F189" s="20"/>
    </row>
    <row r="190" spans="1:8" x14ac:dyDescent="0.3">
      <c r="F190" s="20"/>
    </row>
    <row r="191" spans="1:8" x14ac:dyDescent="0.3">
      <c r="F191" s="20"/>
    </row>
    <row r="192" spans="1:8" x14ac:dyDescent="0.3">
      <c r="F192" s="20"/>
    </row>
    <row r="193" spans="6:6" x14ac:dyDescent="0.3">
      <c r="F193" s="20"/>
    </row>
    <row r="194" spans="6:6" x14ac:dyDescent="0.3">
      <c r="F194" s="20"/>
    </row>
    <row r="195" spans="6:6" x14ac:dyDescent="0.3">
      <c r="F195" s="20"/>
    </row>
    <row r="196" spans="6:6" x14ac:dyDescent="0.3">
      <c r="F196" s="20"/>
    </row>
    <row r="197" spans="6:6" x14ac:dyDescent="0.3">
      <c r="F197" s="20"/>
    </row>
    <row r="198" spans="6:6" x14ac:dyDescent="0.3">
      <c r="F198" s="20"/>
    </row>
    <row r="199" spans="6:6" x14ac:dyDescent="0.3">
      <c r="F199" s="20"/>
    </row>
    <row r="200" spans="6:6" x14ac:dyDescent="0.3">
      <c r="F200" s="20"/>
    </row>
    <row r="201" spans="6:6" x14ac:dyDescent="0.3">
      <c r="F201" s="20"/>
    </row>
    <row r="202" spans="6:6" x14ac:dyDescent="0.3">
      <c r="F202" s="20"/>
    </row>
    <row r="203" spans="6:6" x14ac:dyDescent="0.3">
      <c r="F203" s="20"/>
    </row>
    <row r="204" spans="6:6" x14ac:dyDescent="0.3">
      <c r="F204" s="20"/>
    </row>
    <row r="205" spans="6:6" x14ac:dyDescent="0.3">
      <c r="F205" s="20"/>
    </row>
    <row r="206" spans="6:6" x14ac:dyDescent="0.3">
      <c r="F206" s="20"/>
    </row>
    <row r="207" spans="6:6" x14ac:dyDescent="0.3">
      <c r="F207" s="20"/>
    </row>
    <row r="208" spans="6:6" x14ac:dyDescent="0.3">
      <c r="F208" s="20"/>
    </row>
    <row r="209" spans="6:6" x14ac:dyDescent="0.3">
      <c r="F209" s="20"/>
    </row>
    <row r="210" spans="6:6" x14ac:dyDescent="0.3">
      <c r="F210" s="20"/>
    </row>
    <row r="211" spans="6:6" x14ac:dyDescent="0.3">
      <c r="F211" s="20"/>
    </row>
    <row r="212" spans="6:6" x14ac:dyDescent="0.3">
      <c r="F212" s="20"/>
    </row>
    <row r="213" spans="6:6" x14ac:dyDescent="0.3">
      <c r="F213" s="20"/>
    </row>
    <row r="214" spans="6:6" x14ac:dyDescent="0.3">
      <c r="F214" s="20"/>
    </row>
    <row r="215" spans="6:6" x14ac:dyDescent="0.3">
      <c r="F215" s="20"/>
    </row>
    <row r="216" spans="6:6" x14ac:dyDescent="0.3">
      <c r="F216" s="20"/>
    </row>
    <row r="217" spans="6:6" x14ac:dyDescent="0.3">
      <c r="F217" s="20"/>
    </row>
    <row r="218" spans="6:6" x14ac:dyDescent="0.3">
      <c r="F218" s="20"/>
    </row>
    <row r="219" spans="6:6" x14ac:dyDescent="0.3">
      <c r="F219" s="20"/>
    </row>
    <row r="220" spans="6:6" x14ac:dyDescent="0.3">
      <c r="F220" s="20"/>
    </row>
    <row r="221" spans="6:6" x14ac:dyDescent="0.3">
      <c r="F221" s="20"/>
    </row>
    <row r="222" spans="6:6" x14ac:dyDescent="0.3">
      <c r="F222" s="20"/>
    </row>
    <row r="223" spans="6:6" x14ac:dyDescent="0.3">
      <c r="F223" s="20"/>
    </row>
    <row r="224" spans="6:6" x14ac:dyDescent="0.3">
      <c r="F224" s="20"/>
    </row>
    <row r="225" spans="6:6" x14ac:dyDescent="0.3">
      <c r="F225" s="20"/>
    </row>
    <row r="226" spans="6:6" x14ac:dyDescent="0.3">
      <c r="F226" s="20"/>
    </row>
    <row r="227" spans="6:6" x14ac:dyDescent="0.3">
      <c r="F227" s="20"/>
    </row>
    <row r="228" spans="6:6" x14ac:dyDescent="0.3">
      <c r="F228" s="20"/>
    </row>
    <row r="229" spans="6:6" x14ac:dyDescent="0.3">
      <c r="F229" s="20"/>
    </row>
    <row r="230" spans="6:6" x14ac:dyDescent="0.3">
      <c r="F230" s="20"/>
    </row>
    <row r="231" spans="6:6" x14ac:dyDescent="0.3">
      <c r="F231" s="20"/>
    </row>
    <row r="232" spans="6:6" x14ac:dyDescent="0.3">
      <c r="F232" s="20"/>
    </row>
    <row r="233" spans="6:6" x14ac:dyDescent="0.3">
      <c r="F233" s="20"/>
    </row>
    <row r="234" spans="6:6" x14ac:dyDescent="0.3">
      <c r="F234" s="20"/>
    </row>
    <row r="235" spans="6:6" x14ac:dyDescent="0.3">
      <c r="F235" s="20"/>
    </row>
    <row r="236" spans="6:6" x14ac:dyDescent="0.3">
      <c r="F236" s="20"/>
    </row>
    <row r="237" spans="6:6" x14ac:dyDescent="0.3">
      <c r="F237" s="20"/>
    </row>
    <row r="238" spans="6:6" x14ac:dyDescent="0.3">
      <c r="F238" s="20"/>
    </row>
    <row r="239" spans="6:6" x14ac:dyDescent="0.3">
      <c r="F239" s="20"/>
    </row>
    <row r="240" spans="6:6" x14ac:dyDescent="0.3">
      <c r="F240" s="20"/>
    </row>
    <row r="241" spans="6:6" x14ac:dyDescent="0.3">
      <c r="F241" s="20"/>
    </row>
    <row r="242" spans="6:6" x14ac:dyDescent="0.3">
      <c r="F242" s="20"/>
    </row>
    <row r="243" spans="6:6" x14ac:dyDescent="0.3">
      <c r="F243" s="20"/>
    </row>
    <row r="244" spans="6:6" x14ac:dyDescent="0.3">
      <c r="F244" s="20"/>
    </row>
    <row r="245" spans="6:6" x14ac:dyDescent="0.3">
      <c r="F245" s="20"/>
    </row>
    <row r="246" spans="6:6" x14ac:dyDescent="0.3">
      <c r="F246" s="20"/>
    </row>
    <row r="247" spans="6:6" x14ac:dyDescent="0.3">
      <c r="F247" s="20"/>
    </row>
    <row r="248" spans="6:6" x14ac:dyDescent="0.3">
      <c r="F248" s="20"/>
    </row>
    <row r="249" spans="6:6" x14ac:dyDescent="0.3">
      <c r="F249" s="20"/>
    </row>
    <row r="250" spans="6:6" x14ac:dyDescent="0.3">
      <c r="F250" s="20"/>
    </row>
    <row r="251" spans="6:6" x14ac:dyDescent="0.3">
      <c r="F251" s="20"/>
    </row>
    <row r="252" spans="6:6" x14ac:dyDescent="0.3">
      <c r="F252" s="20"/>
    </row>
    <row r="253" spans="6:6" x14ac:dyDescent="0.3">
      <c r="F253" s="20"/>
    </row>
    <row r="254" spans="6:6" x14ac:dyDescent="0.3">
      <c r="F254" s="20"/>
    </row>
    <row r="255" spans="6:6" x14ac:dyDescent="0.3">
      <c r="F255" s="20"/>
    </row>
    <row r="256" spans="6:6" x14ac:dyDescent="0.3">
      <c r="F256" s="20"/>
    </row>
    <row r="257" spans="6:6" x14ac:dyDescent="0.3">
      <c r="F257" s="20"/>
    </row>
    <row r="258" spans="6:6" x14ac:dyDescent="0.3">
      <c r="F258" s="20"/>
    </row>
    <row r="259" spans="6:6" x14ac:dyDescent="0.3">
      <c r="F259" s="20"/>
    </row>
    <row r="260" spans="6:6" x14ac:dyDescent="0.3">
      <c r="F260" s="20"/>
    </row>
    <row r="261" spans="6:6" x14ac:dyDescent="0.3">
      <c r="F261" s="20"/>
    </row>
    <row r="262" spans="6:6" x14ac:dyDescent="0.3">
      <c r="F262" s="20"/>
    </row>
    <row r="263" spans="6:6" x14ac:dyDescent="0.3">
      <c r="F263" s="20"/>
    </row>
    <row r="264" spans="6:6" x14ac:dyDescent="0.3">
      <c r="F264" s="20"/>
    </row>
    <row r="265" spans="6:6" x14ac:dyDescent="0.3">
      <c r="F265" s="20"/>
    </row>
    <row r="266" spans="6:6" x14ac:dyDescent="0.3">
      <c r="F266" s="20"/>
    </row>
    <row r="267" spans="6:6" x14ac:dyDescent="0.3">
      <c r="F267" s="20"/>
    </row>
    <row r="268" spans="6:6" x14ac:dyDescent="0.3">
      <c r="F268" s="20"/>
    </row>
    <row r="269" spans="6:6" x14ac:dyDescent="0.3">
      <c r="F269" s="20"/>
    </row>
    <row r="270" spans="6:6" x14ac:dyDescent="0.3">
      <c r="F270" s="20"/>
    </row>
    <row r="271" spans="6:6" x14ac:dyDescent="0.3">
      <c r="F271" s="20"/>
    </row>
    <row r="272" spans="6:6" x14ac:dyDescent="0.3">
      <c r="F272" s="20"/>
    </row>
    <row r="273" spans="6:6" x14ac:dyDescent="0.3">
      <c r="F273" s="20"/>
    </row>
    <row r="274" spans="6:6" x14ac:dyDescent="0.3">
      <c r="F274" s="20"/>
    </row>
    <row r="275" spans="6:6" x14ac:dyDescent="0.3">
      <c r="F275" s="20"/>
    </row>
    <row r="276" spans="6:6" x14ac:dyDescent="0.3">
      <c r="F276" s="20"/>
    </row>
    <row r="277" spans="6:6" x14ac:dyDescent="0.3">
      <c r="F277" s="20"/>
    </row>
    <row r="278" spans="6:6" x14ac:dyDescent="0.3">
      <c r="F278" s="20"/>
    </row>
    <row r="279" spans="6:6" x14ac:dyDescent="0.3">
      <c r="F279" s="20"/>
    </row>
    <row r="280" spans="6:6" x14ac:dyDescent="0.3">
      <c r="F280" s="20"/>
    </row>
    <row r="281" spans="6:6" x14ac:dyDescent="0.3">
      <c r="F281" s="20"/>
    </row>
    <row r="282" spans="6:6" x14ac:dyDescent="0.3">
      <c r="F282" s="20"/>
    </row>
    <row r="283" spans="6:6" x14ac:dyDescent="0.3">
      <c r="F283" s="20"/>
    </row>
    <row r="284" spans="6:6" x14ac:dyDescent="0.3">
      <c r="F284" s="20"/>
    </row>
    <row r="285" spans="6:6" x14ac:dyDescent="0.3">
      <c r="F285" s="20"/>
    </row>
    <row r="286" spans="6:6" x14ac:dyDescent="0.3">
      <c r="F286" s="20"/>
    </row>
    <row r="287" spans="6:6" x14ac:dyDescent="0.3">
      <c r="F287" s="20"/>
    </row>
    <row r="288" spans="6:6" x14ac:dyDescent="0.3">
      <c r="F288" s="20"/>
    </row>
    <row r="289" spans="6:6" x14ac:dyDescent="0.3">
      <c r="F289" s="20"/>
    </row>
    <row r="290" spans="6:6" x14ac:dyDescent="0.3">
      <c r="F290" s="20"/>
    </row>
    <row r="291" spans="6:6" x14ac:dyDescent="0.3">
      <c r="F291" s="20"/>
    </row>
    <row r="292" spans="6:6" x14ac:dyDescent="0.3">
      <c r="F292" s="20"/>
    </row>
    <row r="293" spans="6:6" x14ac:dyDescent="0.3">
      <c r="F293" s="20"/>
    </row>
    <row r="294" spans="6:6" x14ac:dyDescent="0.3">
      <c r="F294" s="20"/>
    </row>
    <row r="295" spans="6:6" x14ac:dyDescent="0.3">
      <c r="F295" s="20"/>
    </row>
    <row r="296" spans="6:6" x14ac:dyDescent="0.3">
      <c r="F296" s="20"/>
    </row>
    <row r="297" spans="6:6" x14ac:dyDescent="0.3">
      <c r="F297" s="20"/>
    </row>
    <row r="298" spans="6:6" x14ac:dyDescent="0.3">
      <c r="F298" s="20"/>
    </row>
    <row r="299" spans="6:6" x14ac:dyDescent="0.3">
      <c r="F299" s="20"/>
    </row>
    <row r="300" spans="6:6" x14ac:dyDescent="0.3">
      <c r="F300" s="20"/>
    </row>
    <row r="301" spans="6:6" x14ac:dyDescent="0.3">
      <c r="F301" s="20"/>
    </row>
    <row r="302" spans="6:6" x14ac:dyDescent="0.3">
      <c r="F302" s="20"/>
    </row>
    <row r="303" spans="6:6" x14ac:dyDescent="0.3">
      <c r="F303" s="20"/>
    </row>
    <row r="304" spans="6:6" x14ac:dyDescent="0.3">
      <c r="F304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B1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4" customWidth="1"/>
    <col min="3" max="3" width="12.109375" hidden="1" customWidth="1"/>
    <col min="4" max="4" width="18.33203125" customWidth="1"/>
    <col min="5" max="5" width="10.77734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96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144</v>
      </c>
      <c r="B2" s="74" t="s">
        <v>137</v>
      </c>
      <c r="C2" s="75"/>
      <c r="D2" s="37" t="s">
        <v>145</v>
      </c>
      <c r="E2" s="38" t="s">
        <v>138</v>
      </c>
      <c r="F2" s="43" t="s">
        <v>99</v>
      </c>
      <c r="G2" s="39" t="s">
        <v>3</v>
      </c>
      <c r="H2" s="40" t="s">
        <v>100</v>
      </c>
      <c r="I2" s="39" t="s">
        <v>101</v>
      </c>
      <c r="J2" s="40" t="s">
        <v>102</v>
      </c>
      <c r="K2" s="39" t="s">
        <v>101</v>
      </c>
      <c r="L2" s="41" t="s">
        <v>103</v>
      </c>
    </row>
    <row r="3" spans="1:12" ht="14.4" customHeight="1" x14ac:dyDescent="0.3">
      <c r="A3" s="44" t="s">
        <v>104</v>
      </c>
      <c r="B3" s="62"/>
      <c r="C3" s="44"/>
      <c r="D3" s="63">
        <v>466287036.41008782</v>
      </c>
      <c r="E3" s="45">
        <v>287724951.74780703</v>
      </c>
      <c r="F3" s="63"/>
      <c r="G3" s="63">
        <v>287724951.74780703</v>
      </c>
      <c r="H3" s="64">
        <v>191080088.70076022</v>
      </c>
      <c r="I3" s="63">
        <v>96644863.047046781</v>
      </c>
      <c r="J3" s="63">
        <v>41126379.109210528</v>
      </c>
      <c r="K3" s="62"/>
      <c r="L3" s="62"/>
    </row>
    <row r="4" spans="1:12" ht="17.399999999999999" customHeight="1" x14ac:dyDescent="0.3">
      <c r="A4" s="52" t="s">
        <v>97</v>
      </c>
      <c r="B4" s="65" t="s">
        <v>0</v>
      </c>
      <c r="C4" s="46" t="s">
        <v>95</v>
      </c>
      <c r="D4" s="65" t="s">
        <v>83</v>
      </c>
      <c r="E4" s="53" t="s">
        <v>98</v>
      </c>
      <c r="F4" s="65" t="s">
        <v>3</v>
      </c>
      <c r="G4" s="65" t="s">
        <v>84</v>
      </c>
      <c r="H4" s="65" t="s">
        <v>85</v>
      </c>
      <c r="I4" s="65" t="s">
        <v>86</v>
      </c>
      <c r="J4" s="66" t="s">
        <v>87</v>
      </c>
      <c r="K4" s="66" t="s">
        <v>88</v>
      </c>
      <c r="L4" s="65" t="s">
        <v>89</v>
      </c>
    </row>
    <row r="5" spans="1:12" ht="17.399999999999999" customHeight="1" x14ac:dyDescent="0.35">
      <c r="A5" s="55">
        <v>57</v>
      </c>
      <c r="B5" s="67" t="s">
        <v>8</v>
      </c>
      <c r="C5" s="48">
        <v>46304</v>
      </c>
      <c r="D5" s="68">
        <v>12289987.052631579</v>
      </c>
      <c r="E5" s="42" t="s">
        <v>91</v>
      </c>
      <c r="F5" s="69">
        <v>46304</v>
      </c>
      <c r="G5" s="70">
        <v>4915994.8210526323</v>
      </c>
      <c r="H5" s="68">
        <v>4022443</v>
      </c>
      <c r="I5" s="68">
        <v>893551.82105263229</v>
      </c>
      <c r="J5" s="68">
        <v>893551.82105263229</v>
      </c>
      <c r="K5" s="71" t="s">
        <v>139</v>
      </c>
      <c r="L5" s="67" t="s">
        <v>117</v>
      </c>
    </row>
    <row r="6" spans="1:12" ht="17.399999999999999" customHeight="1" x14ac:dyDescent="0.35">
      <c r="A6" s="56">
        <v>60</v>
      </c>
      <c r="B6" s="67" t="s">
        <v>8</v>
      </c>
      <c r="C6" s="48">
        <v>46306</v>
      </c>
      <c r="D6" s="68">
        <v>26271786.315789472</v>
      </c>
      <c r="E6" s="42" t="s">
        <v>91</v>
      </c>
      <c r="F6" s="69">
        <v>46306</v>
      </c>
      <c r="G6" s="68">
        <v>26271786.315789472</v>
      </c>
      <c r="H6" s="68">
        <v>0</v>
      </c>
      <c r="I6" s="68">
        <v>26271786.315789472</v>
      </c>
      <c r="J6" s="68">
        <v>26271786.315789472</v>
      </c>
      <c r="K6" s="71" t="s">
        <v>140</v>
      </c>
      <c r="L6" s="67" t="s">
        <v>117</v>
      </c>
    </row>
    <row r="7" spans="1:12" ht="17.399999999999999" customHeight="1" x14ac:dyDescent="0.35">
      <c r="A7" s="55">
        <v>63</v>
      </c>
      <c r="B7" s="67" t="s">
        <v>11</v>
      </c>
      <c r="C7" s="48">
        <v>46308</v>
      </c>
      <c r="D7" s="68">
        <v>7171484</v>
      </c>
      <c r="E7" s="42" t="s">
        <v>91</v>
      </c>
      <c r="F7" s="69">
        <v>46308</v>
      </c>
      <c r="G7" s="68">
        <v>1792871</v>
      </c>
      <c r="H7" s="68">
        <v>853300</v>
      </c>
      <c r="I7" s="68">
        <v>939571</v>
      </c>
      <c r="J7" s="68">
        <v>939571</v>
      </c>
      <c r="K7" s="71" t="s">
        <v>122</v>
      </c>
      <c r="L7" s="67" t="s">
        <v>117</v>
      </c>
    </row>
    <row r="8" spans="1:12" ht="17.399999999999999" customHeight="1" x14ac:dyDescent="0.35">
      <c r="A8" s="56">
        <v>64</v>
      </c>
      <c r="B8" s="67" t="s">
        <v>8</v>
      </c>
      <c r="C8" s="48">
        <v>46309</v>
      </c>
      <c r="D8" s="68">
        <v>1238264.4078947369</v>
      </c>
      <c r="E8" s="42" t="s">
        <v>91</v>
      </c>
      <c r="F8" s="69">
        <v>46309</v>
      </c>
      <c r="G8" s="68">
        <v>495305.76315789478</v>
      </c>
      <c r="H8" s="68">
        <v>0</v>
      </c>
      <c r="I8" s="68">
        <v>495305.76315789478</v>
      </c>
      <c r="J8" s="68">
        <v>495305.76315789478</v>
      </c>
      <c r="K8" s="71" t="s">
        <v>118</v>
      </c>
      <c r="L8" s="67" t="s">
        <v>117</v>
      </c>
    </row>
    <row r="9" spans="1:12" ht="17.399999999999999" customHeight="1" x14ac:dyDescent="0.35">
      <c r="A9" s="56">
        <v>67</v>
      </c>
      <c r="B9" s="67" t="s">
        <v>8</v>
      </c>
      <c r="C9" s="48">
        <v>46309</v>
      </c>
      <c r="D9" s="68">
        <v>538140.19736842101</v>
      </c>
      <c r="E9" s="42" t="s">
        <v>91</v>
      </c>
      <c r="F9" s="69">
        <v>46309</v>
      </c>
      <c r="G9" s="68">
        <v>215256.07894736843</v>
      </c>
      <c r="H9" s="68">
        <v>0</v>
      </c>
      <c r="I9" s="68">
        <v>215256.07894736843</v>
      </c>
      <c r="J9" s="68">
        <v>215256.07894736843</v>
      </c>
      <c r="K9" s="71" t="s">
        <v>118</v>
      </c>
      <c r="L9" s="67" t="s">
        <v>117</v>
      </c>
    </row>
    <row r="10" spans="1:12" ht="17.399999999999999" customHeight="1" x14ac:dyDescent="0.35">
      <c r="A10" s="47">
        <v>68</v>
      </c>
      <c r="B10" s="67" t="s">
        <v>11</v>
      </c>
      <c r="C10" s="48">
        <v>46309</v>
      </c>
      <c r="D10" s="68">
        <v>1164066</v>
      </c>
      <c r="E10" s="42" t="s">
        <v>91</v>
      </c>
      <c r="F10" s="69">
        <v>46309</v>
      </c>
      <c r="G10" s="68">
        <v>1164066</v>
      </c>
      <c r="H10" s="68">
        <v>0</v>
      </c>
      <c r="I10" s="68">
        <v>1164066</v>
      </c>
      <c r="J10" s="68">
        <v>1164066</v>
      </c>
      <c r="K10" s="71" t="s">
        <v>118</v>
      </c>
      <c r="L10" s="67" t="s">
        <v>117</v>
      </c>
    </row>
    <row r="11" spans="1:12" ht="17.399999999999999" customHeight="1" x14ac:dyDescent="0.35">
      <c r="A11" s="47">
        <v>39</v>
      </c>
      <c r="B11" s="67" t="s">
        <v>46</v>
      </c>
      <c r="C11" s="48">
        <v>46250</v>
      </c>
      <c r="D11" s="68">
        <v>2017305</v>
      </c>
      <c r="E11" s="42" t="s">
        <v>90</v>
      </c>
      <c r="F11" s="69">
        <v>46310</v>
      </c>
      <c r="G11" s="68">
        <v>2017305</v>
      </c>
      <c r="H11" s="68">
        <v>2000000</v>
      </c>
      <c r="I11" s="68">
        <v>17305</v>
      </c>
      <c r="J11" s="68">
        <v>17305</v>
      </c>
      <c r="K11" s="71" t="s">
        <v>119</v>
      </c>
      <c r="L11" s="67" t="s">
        <v>117</v>
      </c>
    </row>
    <row r="12" spans="1:12" ht="17.399999999999999" customHeight="1" x14ac:dyDescent="0.35">
      <c r="A12" s="47">
        <v>69</v>
      </c>
      <c r="B12" s="67" t="s">
        <v>11</v>
      </c>
      <c r="C12" s="48">
        <v>46312</v>
      </c>
      <c r="D12" s="68">
        <v>1783434</v>
      </c>
      <c r="E12" s="42" t="s">
        <v>91</v>
      </c>
      <c r="F12" s="69">
        <v>46312</v>
      </c>
      <c r="G12" s="68">
        <v>1783434</v>
      </c>
      <c r="H12" s="68">
        <v>0</v>
      </c>
      <c r="I12" s="68">
        <v>1783434</v>
      </c>
      <c r="J12" s="68">
        <v>1783434</v>
      </c>
      <c r="K12" s="71" t="s">
        <v>141</v>
      </c>
      <c r="L12" s="67" t="s">
        <v>117</v>
      </c>
    </row>
    <row r="13" spans="1:12" ht="17.399999999999999" customHeight="1" x14ac:dyDescent="0.35">
      <c r="A13" s="47">
        <v>71</v>
      </c>
      <c r="B13" s="67" t="s">
        <v>11</v>
      </c>
      <c r="C13" s="48">
        <v>46313</v>
      </c>
      <c r="D13" s="68">
        <v>1156206</v>
      </c>
      <c r="E13" s="42" t="s">
        <v>91</v>
      </c>
      <c r="F13" s="69">
        <v>46313</v>
      </c>
      <c r="G13" s="68">
        <v>1156206</v>
      </c>
      <c r="H13" s="68">
        <v>0</v>
      </c>
      <c r="I13" s="68">
        <v>1156206</v>
      </c>
      <c r="J13" s="68">
        <v>1156206</v>
      </c>
      <c r="K13" s="71" t="s">
        <v>126</v>
      </c>
      <c r="L13" s="67" t="s">
        <v>117</v>
      </c>
    </row>
    <row r="14" spans="1:12" ht="17.399999999999999" customHeight="1" x14ac:dyDescent="0.35">
      <c r="A14" s="47">
        <v>72</v>
      </c>
      <c r="B14" s="67" t="s">
        <v>107</v>
      </c>
      <c r="C14" s="48">
        <v>46313</v>
      </c>
      <c r="D14" s="68">
        <v>3053830</v>
      </c>
      <c r="E14" s="42" t="s">
        <v>91</v>
      </c>
      <c r="F14" s="69">
        <v>46313</v>
      </c>
      <c r="G14" s="68">
        <v>1526915</v>
      </c>
      <c r="H14" s="68">
        <v>1500000</v>
      </c>
      <c r="I14" s="68">
        <v>26915</v>
      </c>
      <c r="J14" s="68">
        <v>26915</v>
      </c>
      <c r="K14" s="71" t="s">
        <v>126</v>
      </c>
      <c r="L14" s="67" t="s">
        <v>117</v>
      </c>
    </row>
    <row r="15" spans="1:12" ht="17.399999999999999" customHeight="1" x14ac:dyDescent="0.35">
      <c r="A15" s="47">
        <v>73</v>
      </c>
      <c r="B15" s="67" t="s">
        <v>8</v>
      </c>
      <c r="C15" s="48">
        <v>46314</v>
      </c>
      <c r="D15" s="68">
        <v>5926550.6491228072</v>
      </c>
      <c r="E15" s="42" t="s">
        <v>91</v>
      </c>
      <c r="F15" s="69">
        <v>46314</v>
      </c>
      <c r="G15" s="68">
        <v>2370620.2596491231</v>
      </c>
      <c r="H15" s="68">
        <v>0</v>
      </c>
      <c r="I15" s="68">
        <v>2370620.2596491231</v>
      </c>
      <c r="J15" s="68">
        <v>2370620.2596491231</v>
      </c>
      <c r="K15" s="71" t="s">
        <v>123</v>
      </c>
      <c r="L15" s="67" t="s">
        <v>117</v>
      </c>
    </row>
    <row r="16" spans="1:12" ht="17.399999999999999" customHeight="1" x14ac:dyDescent="0.35">
      <c r="A16" s="47" t="s">
        <v>38</v>
      </c>
      <c r="B16" s="67" t="s">
        <v>8</v>
      </c>
      <c r="C16" s="48">
        <v>46232</v>
      </c>
      <c r="D16" s="68">
        <v>7077431.6118421052</v>
      </c>
      <c r="E16" s="42" t="s">
        <v>94</v>
      </c>
      <c r="F16" s="69">
        <v>46315</v>
      </c>
      <c r="G16" s="68">
        <v>2359143.8706140351</v>
      </c>
      <c r="H16" s="68">
        <v>0</v>
      </c>
      <c r="I16" s="68">
        <v>2359143.8706140351</v>
      </c>
      <c r="J16" s="68">
        <v>2359143.8706140351</v>
      </c>
      <c r="K16" s="71" t="s">
        <v>120</v>
      </c>
      <c r="L16" s="67" t="s">
        <v>117</v>
      </c>
    </row>
    <row r="17" spans="1:12" ht="17.399999999999999" customHeight="1" x14ac:dyDescent="0.35">
      <c r="A17" s="47">
        <v>47</v>
      </c>
      <c r="B17" s="67" t="s">
        <v>11</v>
      </c>
      <c r="C17" s="48">
        <v>46284</v>
      </c>
      <c r="D17" s="68">
        <v>4577624</v>
      </c>
      <c r="E17" s="42" t="s">
        <v>90</v>
      </c>
      <c r="F17" s="69">
        <v>46315</v>
      </c>
      <c r="G17" s="68">
        <v>3433218</v>
      </c>
      <c r="H17" s="68">
        <v>0</v>
      </c>
      <c r="I17" s="68">
        <v>3433218</v>
      </c>
      <c r="J17" s="68">
        <v>3433218</v>
      </c>
      <c r="K17" s="71" t="s">
        <v>120</v>
      </c>
      <c r="L17" s="67" t="s">
        <v>117</v>
      </c>
    </row>
    <row r="18" spans="1:12" ht="17.399999999999999" customHeight="1" x14ac:dyDescent="0.35">
      <c r="A18" s="42">
        <v>31</v>
      </c>
      <c r="B18" s="67" t="s">
        <v>8</v>
      </c>
      <c r="C18" s="48">
        <v>46240</v>
      </c>
      <c r="D18" s="68">
        <v>20832933.25877193</v>
      </c>
      <c r="E18" s="42" t="s">
        <v>94</v>
      </c>
      <c r="F18" s="69">
        <v>46321</v>
      </c>
      <c r="G18" s="68">
        <v>6944311.0862573097</v>
      </c>
      <c r="H18" s="68">
        <v>0</v>
      </c>
      <c r="I18" s="68">
        <v>6944311.0862573097</v>
      </c>
      <c r="J18" s="68">
        <v>0</v>
      </c>
      <c r="K18" s="71"/>
      <c r="L18" s="67" t="s">
        <v>142</v>
      </c>
    </row>
    <row r="19" spans="1:12" ht="17.399999999999999" customHeight="1" x14ac:dyDescent="0.35">
      <c r="A19" s="42">
        <v>37</v>
      </c>
      <c r="B19" s="67" t="s">
        <v>8</v>
      </c>
      <c r="C19" s="48">
        <v>46250</v>
      </c>
      <c r="D19" s="68">
        <v>8800606.5263157897</v>
      </c>
      <c r="E19" s="42" t="s">
        <v>94</v>
      </c>
      <c r="F19" s="69">
        <v>46321</v>
      </c>
      <c r="G19" s="68">
        <v>2933535.5087719299</v>
      </c>
      <c r="H19" s="68">
        <v>0</v>
      </c>
      <c r="I19" s="68">
        <v>2933535.5087719299</v>
      </c>
      <c r="J19" s="68">
        <v>0</v>
      </c>
      <c r="K19" s="71"/>
      <c r="L19" s="67" t="s">
        <v>142</v>
      </c>
    </row>
    <row r="20" spans="1:12" ht="17.399999999999999" customHeight="1" x14ac:dyDescent="0.35">
      <c r="A20" s="54">
        <v>44</v>
      </c>
      <c r="B20" s="67" t="s">
        <v>16</v>
      </c>
      <c r="C20" s="48">
        <v>46268</v>
      </c>
      <c r="D20" s="68">
        <v>7179524.3859649124</v>
      </c>
      <c r="E20" s="42" t="s">
        <v>90</v>
      </c>
      <c r="F20" s="69">
        <v>46321</v>
      </c>
      <c r="G20" s="68">
        <v>7179524.3859649124</v>
      </c>
      <c r="H20" s="68">
        <v>147567.97999999952</v>
      </c>
      <c r="I20" s="68">
        <v>7031956.4059649128</v>
      </c>
      <c r="J20" s="68">
        <v>0</v>
      </c>
      <c r="K20" s="71"/>
      <c r="L20" s="67" t="s">
        <v>142</v>
      </c>
    </row>
    <row r="21" spans="1:12" ht="17.399999999999999" customHeight="1" x14ac:dyDescent="0.35">
      <c r="A21" s="42">
        <v>46</v>
      </c>
      <c r="B21" s="67" t="s">
        <v>8</v>
      </c>
      <c r="C21" s="48">
        <v>46281</v>
      </c>
      <c r="D21" s="68">
        <v>9846915.1578947362</v>
      </c>
      <c r="E21" s="42" t="s">
        <v>94</v>
      </c>
      <c r="F21" s="69">
        <v>46321</v>
      </c>
      <c r="G21" s="68">
        <v>3282305.0526315789</v>
      </c>
      <c r="H21" s="68">
        <v>0</v>
      </c>
      <c r="I21" s="68">
        <v>3282305.0526315789</v>
      </c>
      <c r="J21" s="68">
        <v>0</v>
      </c>
      <c r="K21" s="71"/>
      <c r="L21" s="67" t="s">
        <v>142</v>
      </c>
    </row>
    <row r="22" spans="1:12" ht="17.399999999999999" customHeight="1" x14ac:dyDescent="0.35">
      <c r="A22" s="47">
        <v>51</v>
      </c>
      <c r="B22" s="67" t="s">
        <v>11</v>
      </c>
      <c r="C22" s="48">
        <v>46292</v>
      </c>
      <c r="D22" s="68">
        <v>4576040</v>
      </c>
      <c r="E22" s="42" t="s">
        <v>90</v>
      </c>
      <c r="F22" s="69">
        <v>46322</v>
      </c>
      <c r="G22" s="68">
        <v>2288020</v>
      </c>
      <c r="H22" s="68">
        <v>0</v>
      </c>
      <c r="I22" s="68">
        <v>2288020</v>
      </c>
      <c r="J22" s="68">
        <v>0</v>
      </c>
      <c r="K22" s="71"/>
      <c r="L22" s="67" t="s">
        <v>127</v>
      </c>
    </row>
    <row r="23" spans="1:12" ht="14.4" customHeight="1" x14ac:dyDescent="0.3">
      <c r="A23" s="47">
        <v>52</v>
      </c>
      <c r="B23" s="47" t="s">
        <v>107</v>
      </c>
      <c r="C23" s="48">
        <v>46297</v>
      </c>
      <c r="D23" s="49">
        <v>5384800</v>
      </c>
      <c r="E23" s="42" t="s">
        <v>90</v>
      </c>
      <c r="F23" s="48">
        <v>46327</v>
      </c>
      <c r="G23" s="49">
        <v>2599999.9999999991</v>
      </c>
      <c r="H23" s="49">
        <v>0</v>
      </c>
      <c r="I23" s="49">
        <v>2599999.9999999991</v>
      </c>
      <c r="J23" s="49">
        <v>0</v>
      </c>
      <c r="K23" s="50"/>
      <c r="L23" s="47" t="s">
        <v>143</v>
      </c>
    </row>
    <row r="24" spans="1:12" ht="14.4" customHeight="1" x14ac:dyDescent="0.3">
      <c r="A24" s="42">
        <v>55</v>
      </c>
      <c r="B24" s="47" t="s">
        <v>107</v>
      </c>
      <c r="C24" s="48">
        <v>46301</v>
      </c>
      <c r="D24" s="49">
        <v>4791465</v>
      </c>
      <c r="E24" s="42" t="s">
        <v>90</v>
      </c>
      <c r="F24" s="48">
        <v>46331</v>
      </c>
      <c r="G24" s="49">
        <v>2395732.5</v>
      </c>
      <c r="H24" s="49">
        <v>0</v>
      </c>
      <c r="I24" s="49">
        <v>2395732.5</v>
      </c>
      <c r="J24" s="49">
        <v>0</v>
      </c>
      <c r="K24" s="50"/>
      <c r="L24" s="47" t="s">
        <v>93</v>
      </c>
    </row>
    <row r="25" spans="1:12" ht="14.4" customHeight="1" x14ac:dyDescent="0.3">
      <c r="A25" s="42">
        <v>62</v>
      </c>
      <c r="B25" s="47" t="s">
        <v>11</v>
      </c>
      <c r="C25" s="48">
        <v>46307</v>
      </c>
      <c r="D25" s="49">
        <v>3795800</v>
      </c>
      <c r="E25" s="42" t="s">
        <v>90</v>
      </c>
      <c r="F25" s="48">
        <v>46337</v>
      </c>
      <c r="G25" s="49">
        <v>2846850</v>
      </c>
      <c r="H25" s="49">
        <v>0</v>
      </c>
      <c r="I25" s="49">
        <v>2846850</v>
      </c>
      <c r="J25" s="49">
        <v>0</v>
      </c>
      <c r="K25" s="50"/>
      <c r="L25" s="47" t="s">
        <v>93</v>
      </c>
    </row>
    <row r="26" spans="1:12" ht="14.4" customHeight="1" x14ac:dyDescent="0.3">
      <c r="A26" s="42">
        <v>63</v>
      </c>
      <c r="B26" s="47" t="s">
        <v>11</v>
      </c>
      <c r="C26" s="48">
        <v>46308</v>
      </c>
      <c r="D26" s="49">
        <v>7171484</v>
      </c>
      <c r="E26" s="42" t="s">
        <v>90</v>
      </c>
      <c r="F26" s="48">
        <v>46338</v>
      </c>
      <c r="G26" s="49">
        <v>5378613</v>
      </c>
      <c r="H26" s="49">
        <v>0</v>
      </c>
      <c r="I26" s="49">
        <v>5378613</v>
      </c>
      <c r="J26" s="49">
        <v>0</v>
      </c>
      <c r="K26" s="50"/>
      <c r="L26" s="47" t="s">
        <v>93</v>
      </c>
    </row>
    <row r="27" spans="1:12" ht="14.4" customHeight="1" x14ac:dyDescent="0.3">
      <c r="A27" s="42">
        <v>64</v>
      </c>
      <c r="B27" s="47" t="s">
        <v>8</v>
      </c>
      <c r="C27" s="48">
        <v>46309</v>
      </c>
      <c r="D27" s="49">
        <v>1238264.4078947369</v>
      </c>
      <c r="E27" s="42" t="s">
        <v>90</v>
      </c>
      <c r="F27" s="48">
        <v>46340</v>
      </c>
      <c r="G27" s="49">
        <v>371479.32236842107</v>
      </c>
      <c r="H27" s="49">
        <v>0</v>
      </c>
      <c r="I27" s="49">
        <v>371479.32236842107</v>
      </c>
      <c r="J27" s="49">
        <v>0</v>
      </c>
      <c r="K27" s="50"/>
      <c r="L27" s="47" t="s">
        <v>93</v>
      </c>
    </row>
    <row r="28" spans="1:12" ht="14.4" customHeight="1" x14ac:dyDescent="0.3">
      <c r="A28" s="42">
        <v>67</v>
      </c>
      <c r="B28" s="47" t="s">
        <v>8</v>
      </c>
      <c r="C28" s="48">
        <v>46309</v>
      </c>
      <c r="D28" s="49">
        <v>538140.19736842101</v>
      </c>
      <c r="E28" s="42" t="s">
        <v>90</v>
      </c>
      <c r="F28" s="48">
        <v>46340</v>
      </c>
      <c r="G28" s="49">
        <v>161442.05921052629</v>
      </c>
      <c r="H28" s="49">
        <v>0</v>
      </c>
      <c r="I28" s="49">
        <v>161442.05921052629</v>
      </c>
      <c r="J28" s="49">
        <v>0</v>
      </c>
      <c r="K28" s="50"/>
      <c r="L28" s="47" t="s">
        <v>93</v>
      </c>
    </row>
    <row r="29" spans="1:12" ht="14.4" customHeight="1" x14ac:dyDescent="0.3">
      <c r="A29" s="42">
        <v>72</v>
      </c>
      <c r="B29" s="47" t="s">
        <v>107</v>
      </c>
      <c r="C29" s="48">
        <v>46313</v>
      </c>
      <c r="D29" s="49">
        <v>3053830</v>
      </c>
      <c r="E29" s="42" t="s">
        <v>90</v>
      </c>
      <c r="F29" s="48">
        <v>46344</v>
      </c>
      <c r="G29" s="49">
        <v>1526915</v>
      </c>
      <c r="H29" s="49">
        <v>0</v>
      </c>
      <c r="I29" s="49">
        <v>1526915</v>
      </c>
      <c r="J29" s="49">
        <v>0</v>
      </c>
      <c r="K29" s="50"/>
      <c r="L29" s="47" t="s">
        <v>93</v>
      </c>
    </row>
    <row r="30" spans="1:12" ht="14.4" customHeight="1" x14ac:dyDescent="0.3">
      <c r="A30" s="42">
        <v>73</v>
      </c>
      <c r="B30" s="47" t="s">
        <v>8</v>
      </c>
      <c r="C30" s="48">
        <v>46314</v>
      </c>
      <c r="D30" s="49">
        <v>5926550.6491228072</v>
      </c>
      <c r="E30" s="42" t="s">
        <v>90</v>
      </c>
      <c r="F30" s="48">
        <v>46345</v>
      </c>
      <c r="G30" s="49">
        <v>1777965.1947368421</v>
      </c>
      <c r="H30" s="49">
        <v>0</v>
      </c>
      <c r="I30" s="49">
        <v>1777965.1947368421</v>
      </c>
      <c r="J30" s="49">
        <v>0</v>
      </c>
      <c r="K30" s="50"/>
      <c r="L30" s="47" t="s">
        <v>93</v>
      </c>
    </row>
    <row r="31" spans="1:12" ht="14.4" customHeight="1" x14ac:dyDescent="0.3">
      <c r="A31" s="42">
        <v>49</v>
      </c>
      <c r="B31" s="42" t="s">
        <v>46</v>
      </c>
      <c r="C31" s="57">
        <v>46286</v>
      </c>
      <c r="D31" s="58">
        <v>1923110</v>
      </c>
      <c r="E31" s="42" t="s">
        <v>90</v>
      </c>
      <c r="F31" s="57">
        <v>46346</v>
      </c>
      <c r="G31" s="58">
        <v>1923110</v>
      </c>
      <c r="H31" s="58">
        <v>0</v>
      </c>
      <c r="I31" s="58">
        <v>1923110</v>
      </c>
      <c r="J31" s="58">
        <v>0</v>
      </c>
      <c r="K31" s="59"/>
      <c r="L31" s="42" t="s">
        <v>93</v>
      </c>
    </row>
    <row r="32" spans="1:12" ht="14.4" customHeight="1" x14ac:dyDescent="0.3">
      <c r="A32" s="42">
        <v>57</v>
      </c>
      <c r="B32" s="42" t="s">
        <v>8</v>
      </c>
      <c r="C32" s="57">
        <v>46304</v>
      </c>
      <c r="D32" s="58">
        <v>12289987.052631579</v>
      </c>
      <c r="E32" s="42" t="s">
        <v>90</v>
      </c>
      <c r="F32" s="57">
        <v>46349</v>
      </c>
      <c r="G32" s="58">
        <v>3686996.1157894735</v>
      </c>
      <c r="H32" s="58">
        <v>0</v>
      </c>
      <c r="I32" s="58">
        <v>3686996.1157894735</v>
      </c>
      <c r="J32" s="58">
        <v>0</v>
      </c>
      <c r="K32" s="59"/>
      <c r="L32" s="42" t="s">
        <v>93</v>
      </c>
    </row>
    <row r="33" spans="1:12" ht="14.4" customHeight="1" x14ac:dyDescent="0.3">
      <c r="A33" s="42">
        <v>51</v>
      </c>
      <c r="B33" s="42" t="s">
        <v>11</v>
      </c>
      <c r="C33" s="57">
        <v>46292</v>
      </c>
      <c r="D33" s="58">
        <v>4576040</v>
      </c>
      <c r="E33" s="42" t="s">
        <v>92</v>
      </c>
      <c r="F33" s="57">
        <v>46353</v>
      </c>
      <c r="G33" s="58">
        <v>2288020</v>
      </c>
      <c r="H33" s="58">
        <v>0</v>
      </c>
      <c r="I33" s="58">
        <v>2288020</v>
      </c>
      <c r="J33" s="58">
        <v>0</v>
      </c>
      <c r="K33" s="59"/>
      <c r="L33" s="42" t="s">
        <v>93</v>
      </c>
    </row>
    <row r="34" spans="1:12" ht="14.4" customHeight="1" x14ac:dyDescent="0.3">
      <c r="A34" s="42">
        <v>64</v>
      </c>
      <c r="B34" s="42" t="s">
        <v>8</v>
      </c>
      <c r="C34" s="57">
        <v>46309</v>
      </c>
      <c r="D34" s="58">
        <v>1238264.4078947369</v>
      </c>
      <c r="E34" s="42" t="s">
        <v>92</v>
      </c>
      <c r="F34" s="57">
        <v>46370</v>
      </c>
      <c r="G34" s="58">
        <v>371479.32236842107</v>
      </c>
      <c r="H34" s="58">
        <v>0</v>
      </c>
      <c r="I34" s="58">
        <v>371479.32236842107</v>
      </c>
      <c r="J34" s="58">
        <v>0</v>
      </c>
      <c r="K34" s="59"/>
      <c r="L34" s="42" t="s">
        <v>93</v>
      </c>
    </row>
    <row r="35" spans="1:12" ht="14.4" customHeight="1" x14ac:dyDescent="0.3">
      <c r="A35" s="42">
        <v>67</v>
      </c>
      <c r="B35" s="42" t="s">
        <v>8</v>
      </c>
      <c r="C35" s="57">
        <v>46309</v>
      </c>
      <c r="D35" s="58">
        <v>538140.19736842101</v>
      </c>
      <c r="E35" s="42" t="s">
        <v>92</v>
      </c>
      <c r="F35" s="57">
        <v>46370</v>
      </c>
      <c r="G35" s="58">
        <v>161442.05921052629</v>
      </c>
      <c r="H35" s="58">
        <v>0</v>
      </c>
      <c r="I35" s="58">
        <v>161442.05921052629</v>
      </c>
      <c r="J35" s="58">
        <v>0</v>
      </c>
      <c r="K35" s="59"/>
      <c r="L35" s="42" t="s">
        <v>93</v>
      </c>
    </row>
    <row r="36" spans="1:12" ht="14.4" customHeight="1" x14ac:dyDescent="0.3">
      <c r="A36" s="42">
        <v>70</v>
      </c>
      <c r="B36" s="42" t="s">
        <v>108</v>
      </c>
      <c r="C36" s="57">
        <v>46310</v>
      </c>
      <c r="D36" s="58">
        <v>2083350</v>
      </c>
      <c r="E36" s="42" t="s">
        <v>90</v>
      </c>
      <c r="F36" s="57">
        <v>46370</v>
      </c>
      <c r="G36" s="58">
        <v>2083350</v>
      </c>
      <c r="H36" s="58">
        <v>0</v>
      </c>
      <c r="I36" s="58">
        <v>2083350</v>
      </c>
      <c r="J36" s="58">
        <v>0</v>
      </c>
      <c r="K36" s="59"/>
      <c r="L36" s="42" t="s">
        <v>93</v>
      </c>
    </row>
    <row r="37" spans="1:12" ht="14.4" customHeight="1" x14ac:dyDescent="0.3">
      <c r="A37" s="42">
        <v>73</v>
      </c>
      <c r="B37" s="42" t="s">
        <v>8</v>
      </c>
      <c r="C37" s="57">
        <v>46314</v>
      </c>
      <c r="D37" s="58">
        <v>5926550.6491228072</v>
      </c>
      <c r="E37" s="42" t="s">
        <v>92</v>
      </c>
      <c r="F37" s="57">
        <v>46375</v>
      </c>
      <c r="G37" s="58">
        <v>1777965.1947368421</v>
      </c>
      <c r="H37" s="58">
        <v>0</v>
      </c>
      <c r="I37" s="58">
        <v>1777965.1947368421</v>
      </c>
      <c r="J37" s="58">
        <v>0</v>
      </c>
      <c r="K37" s="59"/>
      <c r="L37" s="42" t="s">
        <v>93</v>
      </c>
    </row>
    <row r="38" spans="1:12" ht="14.4" customHeight="1" x14ac:dyDescent="0.3">
      <c r="A38" s="42">
        <v>57</v>
      </c>
      <c r="B38" s="42" t="s">
        <v>8</v>
      </c>
      <c r="C38" s="57">
        <v>46304</v>
      </c>
      <c r="D38" s="58">
        <v>12289987.052631579</v>
      </c>
      <c r="E38" s="42" t="s">
        <v>92</v>
      </c>
      <c r="F38" s="57">
        <v>46379</v>
      </c>
      <c r="G38" s="58">
        <v>3686996.1157894735</v>
      </c>
      <c r="H38" s="58">
        <v>0</v>
      </c>
      <c r="I38" s="58">
        <v>3686996.1157894735</v>
      </c>
      <c r="J38" s="58">
        <v>0</v>
      </c>
      <c r="K38" s="59"/>
      <c r="L38" s="42" t="s">
        <v>93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3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6" t="s">
        <v>48</v>
      </c>
      <c r="B1" s="77"/>
      <c r="C1" s="77"/>
      <c r="I1" s="80" t="s">
        <v>49</v>
      </c>
      <c r="J1" s="81"/>
      <c r="K1" s="81"/>
    </row>
    <row r="2" spans="1:11" ht="15.6" x14ac:dyDescent="0.3">
      <c r="A2" s="2" t="s">
        <v>50</v>
      </c>
      <c r="B2" s="78">
        <f>SUM(B4:B3000)-SUM(C4:C3000)</f>
        <v>96609843.927807063</v>
      </c>
      <c r="C2" s="79"/>
      <c r="I2" s="3" t="s">
        <v>50</v>
      </c>
      <c r="J2" s="78">
        <f>SUM(J4:J3000)-SUM(K4:K3000)</f>
        <v>-124294435</v>
      </c>
      <c r="K2" s="79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124294435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21277998</v>
      </c>
      <c r="C7" s="7">
        <v>0</v>
      </c>
    </row>
    <row r="8" spans="1:11" ht="18" customHeight="1" x14ac:dyDescent="0.35">
      <c r="A8" s="6" t="s">
        <v>46</v>
      </c>
      <c r="B8" s="7">
        <v>1940415.0000000005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107</v>
      </c>
      <c r="B11" s="7">
        <v>6549562.0000000019</v>
      </c>
      <c r="C11" s="7">
        <v>0</v>
      </c>
    </row>
    <row r="12" spans="1:11" ht="18" customHeight="1" x14ac:dyDescent="0.35">
      <c r="A12" s="6" t="s">
        <v>108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77</v>
      </c>
      <c r="B1" s="82"/>
      <c r="C1" s="82"/>
      <c r="D1" s="82"/>
    </row>
    <row r="2" spans="1:4" x14ac:dyDescent="0.3">
      <c r="A2" s="21" t="s">
        <v>78</v>
      </c>
      <c r="B2" s="22">
        <v>13</v>
      </c>
      <c r="C2" s="23">
        <v>41126379.109210521</v>
      </c>
      <c r="D2" s="24">
        <v>7.4615384615390212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1" t="s">
        <v>107</v>
      </c>
      <c r="B4" s="26">
        <v>1</v>
      </c>
      <c r="C4" s="27">
        <v>26915</v>
      </c>
      <c r="D4" s="28">
        <v>5</v>
      </c>
    </row>
    <row r="5" spans="1:4" x14ac:dyDescent="0.3">
      <c r="A5" s="29" t="s">
        <v>46</v>
      </c>
      <c r="B5" s="26">
        <v>1</v>
      </c>
      <c r="C5" s="27">
        <v>17305</v>
      </c>
      <c r="D5" s="28">
        <v>8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8.5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6.5999999999985448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vCeV4KTzuGaLFCWENfQYB+7zYSMNvqdiGL6J2wGOcXSNWcV0NK6CGGNT73FiOCCi5enDuvjCyPcR1q7UUH6sAA==" saltValue="ODyJzvApBgJmezBIFVSEPA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2026-10-22T08:35:04Z</dcterms:modified>
</cp:coreProperties>
</file>