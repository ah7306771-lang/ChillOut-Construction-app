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52C11C5-6BA4-4127-B331-437EDF34E0EC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<sst xmlns="http://schemas.openxmlformats.org/spreadsheetml/2006/main" count="923" uniqueCount="145">
  <si>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</si>
  <si>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</si>
  <si>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</si>
  <si>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</si>
  <si>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</si>
  <si>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</si>
  <si>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</si>
  <si>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</si>
  <si>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</si>
  <si>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</si>
  <si>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</si>
  <si>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</si>
  <si>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</si>
  <si>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</si>
  <si>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</si>
  <si>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</si>
  <si>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</si>
  <si>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</si>
  <si>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</si>
  <si>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</si>
  <si>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</si>
  <si>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</si>
  <si>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</si>
  <si>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</si>
  <si>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</si>
  <si>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</si>
  <si>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</si>
  <si>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</si>
  <si>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</si>
  <si>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</si>
  <si>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</si>
  <si>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</si>
  <si>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</si>
  <si>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</si>
  <si>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</si>
  <si>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</si>
  <si>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</si>
  <si>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</si>
  <si>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</si>
  <si>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</si>
  <si>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</si>
  <si>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</si>
  <si>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</si>
  <si>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</si>
  <si>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</si>
  <si>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</si>
  <si>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</si>
  <si>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</si>
  <si>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</si>
  <si>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</si>
  <si>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</si>
  <si>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</si>
  <si>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</si>
  <si>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</si>
  <si>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</si>
  <si>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</si>
  <si>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</si>
  <si>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</si>
  <si>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</si>
  <si>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</si>
  <si>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</si>
  <si>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</si>
  <si>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</si>
  <si>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</si>
  <si>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</si>
  <si>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</si>
  <si>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</si>
  <si>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</si>
  <si>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</si>
  <si>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</si>
  <si>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</si>
  <si>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</si>
  <si>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</si>
  <si>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</si>
  <si>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</si>
  <si>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</si>
  <si>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</si>
  <si>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</si>
  <si>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</si>
  <si>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</si>
  <si>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</si>
  <si>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</si>
  <si>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</si>
  <si>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</si>
  <si>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</si>
  <si>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</si>
  <si>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</si>
  <si>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</si>
  <si>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</si>
  <si>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</si>
  <si>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</si>
  <si>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</si>
  <si>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</si>
  <si>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</si>
  <si>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</si>
  <si>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</si>
  <si>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</si>
  <si>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</si>
  <si>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</si>
  <si>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</si>
  <si>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</si>
  <si>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</si>
  <si>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</si>
  <si>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</si>
  <si>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</si>
  <si>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</si>
  <si>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</si>
  <si>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</si>
  <si>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</si>
  <si>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</si>
  <si>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</si>
  <si>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</si>
  <si>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</si>
  <si>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</si>
  <si>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</si>
  <si>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</si>
  <si>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12 يوم</t>
  </si>
  <si>
    <t>🔔 متبقي 7 أيام</t>
  </si>
  <si>
    <t>⚠ باقي 11 يوم</t>
  </si>
  <si>
    <t>⚠ باقي 42 يوم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</si>
  <si>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</si>
  <si>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</si>
  <si>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</si>
  <si>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</si>
  <si>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</si>
  <si>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</si>
  <si>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</si>
  <si>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100% كاش</t>
  </si>
  <si>
    <t>⚠ بدون تاريخ</t>
  </si>
  <si>
    <t>متبقي منه 683,850</t>
  </si>
  <si>
    <t>⚠ متأخر
36,557,132</t>
  </si>
  <si>
    <t>⚠ شيك متأخر 24 يوم</t>
  </si>
  <si>
    <t>⚠ باقي 3 يوم</t>
  </si>
  <si>
    <t>⚠ باقي 6 يوم</t>
  </si>
  <si>
    <t>⚠ باقي 8 يوم</t>
  </si>
  <si>
    <t>⚠ باقي 10 يوم</t>
  </si>
  <si>
    <t>⚠ باقي 14 يوم</t>
  </si>
  <si>
    <t>⚠ باقي 41 يوم</t>
  </si>
  <si>
    <t>⚠ باقي 45 يوم</t>
  </si>
  <si>
    <t>⚠ باقي 16 يوم</t>
  </si>
  <si>
    <t>9 أيام</t>
  </si>
  <si>
    <t>7 أيام</t>
  </si>
  <si>
    <t>4 أيام</t>
  </si>
  <si>
    <t>🔔 متبقي يوم واحد</t>
  </si>
  <si>
    <t>🔔 متبقي 5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</si>
</sst>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131</v>
      </c>
      <c r="H3" s="19" t="s">
        <v>129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2">
        <v>46312</v>
      </c>
      <c r="E4" s="19" t="s">
        <v>14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2">
        <v>46315</v>
      </c>
      <c r="E5" s="19" t="s">
        <v>9</v>
      </c>
      <c r="F5" s="19" t="s">
        <v>10</v>
      </c>
      <c r="G5" s="19" t="s">
        <v>133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2">
        <v>46317</v>
      </c>
      <c r="E6" s="19" t="s">
        <v>16</v>
      </c>
      <c r="F6" s="19" t="s">
        <v>10</v>
      </c>
      <c r="G6" s="19" t="s">
        <v>134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2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2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2">
        <v>46315</v>
      </c>
      <c r="E9" s="19" t="s">
        <v>12</v>
      </c>
      <c r="F9" s="19" t="s">
        <v>10</v>
      </c>
      <c r="G9" s="19" t="s">
        <v>133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2">
        <v>46319</v>
      </c>
      <c r="E10" s="19" t="s">
        <v>12</v>
      </c>
      <c r="F10" s="19" t="s">
        <v>10</v>
      </c>
      <c r="G10" s="19" t="s">
        <v>135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2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2">
        <v>46323</v>
      </c>
      <c r="E12" s="19" t="s">
        <v>110</v>
      </c>
      <c r="F12" s="19" t="s">
        <v>10</v>
      </c>
      <c r="G12" s="19" t="s">
        <v>136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2">
        <v>46350</v>
      </c>
      <c r="E13" s="19" t="s">
        <v>12</v>
      </c>
      <c r="F13" s="19" t="s">
        <v>10</v>
      </c>
      <c r="G13" s="19" t="s">
        <v>137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2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2">
        <v>46354</v>
      </c>
      <c r="E15" s="19" t="s">
        <v>12</v>
      </c>
      <c r="F15" s="19" t="s">
        <v>10</v>
      </c>
      <c r="G15" s="19" t="s">
        <v>138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2">
        <v>46325</v>
      </c>
      <c r="E16" s="19" t="s">
        <v>9</v>
      </c>
      <c r="F16" s="19" t="s">
        <v>10</v>
      </c>
      <c r="G16" s="19" t="s">
        <v>139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2">
        <v>46325</v>
      </c>
      <c r="E17" s="19" t="s">
        <v>9</v>
      </c>
      <c r="F17" s="19" t="s">
        <v>10</v>
      </c>
      <c r="G17" s="19" t="s">
        <v>139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127</v>
      </c>
      <c r="F260" s="82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127</v>
      </c>
      <c r="F261" s="82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127</v>
      </c>
      <c r="F262" s="82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127</v>
      </c>
      <c r="F263" s="82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127</v>
      </c>
      <c r="F264" s="82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127</v>
      </c>
      <c r="F265" s="82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2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2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2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2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2"/>
      <c r="G270" s="34">
        <v>0</v>
      </c>
      <c r="H270" s="34">
        <v>0</v>
      </c>
    </row>
    <row r="271" spans="1:8" x14ac:dyDescent="0.3">
      <c r="A271" s="19" t="s">
        <v>11</v>
      </c>
      <c r="C271" s="32">
        <v>40100</v>
      </c>
      <c r="D271" s="31">
        <v>63</v>
      </c>
      <c r="F271" s="82"/>
      <c r="G271" s="34">
        <v>0</v>
      </c>
      <c r="H271" s="34">
        <v>0</v>
      </c>
    </row>
    <row r="272" spans="1:8" x14ac:dyDescent="0.3">
      <c r="A272" s="19" t="s">
        <v>11</v>
      </c>
      <c r="C272" s="32">
        <v>40100</v>
      </c>
      <c r="D272" s="31">
        <v>63</v>
      </c>
      <c r="F272" s="82"/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2"/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2"/>
      <c r="G274" s="34">
        <v>0</v>
      </c>
      <c r="H274" s="34">
        <v>0</v>
      </c>
    </row>
    <row r="275" spans="1:8" x14ac:dyDescent="0.3">
      <c r="A275" s="19" t="s">
        <v>11</v>
      </c>
      <c r="C275" s="32">
        <v>40100</v>
      </c>
      <c r="D275" s="31">
        <v>63</v>
      </c>
      <c r="F275" s="82"/>
      <c r="G275" s="34">
        <v>0</v>
      </c>
      <c r="H275" s="34">
        <v>2344246</v>
      </c>
    </row>
    <row r="276" spans="1:8" x14ac:dyDescent="0.3">
      <c r="A276" s="19" t="s">
        <v>8</v>
      </c>
      <c r="D276" s="31">
        <v>64</v>
      </c>
      <c r="F276" s="82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2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2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2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2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2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2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2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2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130</v>
      </c>
      <c r="B2" s="73" t="s">
        <v>124</v>
      </c>
      <c r="C2" s="74"/>
      <c r="D2" s="37" t="s">
        <v>126</v>
      </c>
      <c r="E2" s="38" t="s">
        <v>125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65</v>
      </c>
      <c r="F3" s="49"/>
      <c r="G3" s="50">
        <v>266198606.33552629</v>
      </c>
      <c r="H3" s="51">
        <v>156168421.64812866</v>
      </c>
      <c r="I3" s="50">
        <v>110030184.68739766</v>
      </c>
      <c r="J3" s="50">
        <v>36557132.24210526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140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2773978</v>
      </c>
      <c r="I6" s="57">
        <v>1288042</v>
      </c>
      <c r="J6" s="57">
        <v>1288042</v>
      </c>
      <c r="K6" s="59" t="s">
        <v>141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141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120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142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121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121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143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122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144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123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117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111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111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>
      <c r="A29" s="42">
        <v>63</v>
      </c>
      <c r="B29" s="42" t="s">
        <v>11</v>
      </c>
      <c r="C29" s="44"/>
      <c r="D29" s="45">
        <v>2501839</v>
      </c>
      <c r="E29" s="42" t="s">
        <v>91</v>
      </c>
      <c r="F29" s="44"/>
      <c r="G29" s="45">
        <v>1876379.25</v>
      </c>
      <c r="H29" s="45">
        <v>0</v>
      </c>
      <c r="I29" s="45">
        <v>1876379.25</v>
      </c>
      <c r="J29" s="45">
        <v>0</v>
      </c>
      <c r="K29" s="46"/>
      <c r="L29" s="42" t="s">
        <v>128</v>
      </c>
    </row>
    <row r="30" spans="1:12" ht="14.4" customHeight="1" x14ac:dyDescent="0.3">
      <c r="A30" s="42">
        <v>63</v>
      </c>
      <c r="B30" s="42" t="s">
        <v>11</v>
      </c>
      <c r="C30" s="44"/>
      <c r="D30" s="45">
        <v>2501839</v>
      </c>
      <c r="E30" s="42" t="s">
        <v>93</v>
      </c>
      <c r="F30" s="44"/>
      <c r="G30" s="45">
        <v>625459.75</v>
      </c>
      <c r="H30" s="45">
        <v>0</v>
      </c>
      <c r="I30" s="45">
        <v>625459.75</v>
      </c>
      <c r="J30" s="45">
        <v>0</v>
      </c>
      <c r="K30" s="46"/>
      <c r="L30" s="42" t="s">
        <v>128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107406185.51342109</v>
      </c>
      <c r="C2" s="78"/>
      <c r="I2" s="3" t="s">
        <v>51</v>
      </c>
      <c r="J2" s="77">
        <f>SUM(J4:J3000)-SUM(K4:K3000)</f>
        <v>-103508548.5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15889808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36557132.24210526</v>
      </c>
      <c r="D2" s="24">
        <v>5.5714285714285712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6.333333333333333</v>
      </c>
    </row>
    <row r="5" spans="1:4" x14ac:dyDescent="0.3">
      <c r="A5" s="29" t="s">
        <v>11</v>
      </c>
      <c r="B5" s="26">
        <v>4</v>
      </c>
      <c r="C5" s="27">
        <v>5033700</v>
      </c>
      <c r="D5" s="28">
        <v>5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RZQYbh63Ie/Y133zUZ049HqiFxW7qZCJn/DFiq5+lto8LMzVxWNKkiY77zNuT0lGQqQ1tyGhFq0u3tV+rpRkuQ==" saltValue="TQNehFoTeztHZIYiSmjRSg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2026-10-13T21:05:42Z</dcterms:modified>
</cp:coreProperties>
</file>