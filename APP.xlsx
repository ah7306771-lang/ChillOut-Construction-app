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6534DFC1-E191-48AE-B02F-70B08828F0ED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4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<sst xmlns="http://schemas.openxmlformats.org/spreadsheetml/2006/main" count="1038" uniqueCount="158">
  <si>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</si>
  <si>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</si>
  <si>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</si>
  <si>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</si>
  <si>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</si>
  <si>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</si>
  <si>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</si>
  <si>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</si>
  <si>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</si>
  <si>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</si>
  <si>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</si>
  <si>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</si>
  <si>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</si>
  <si>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</si>
  <si>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</si>
  <si>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</si>
  <si>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</si>
  <si>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</si>
  <si>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</si>
  <si>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</si>
  <si>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</si>
  <si>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</si>
  <si>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</si>
  <si>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</si>
  <si>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</si>
  <si>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</si>
  <si>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</si>
  <si>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</si>
  <si>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</si>
  <si>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</si>
  <si>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</si>
  <si>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</si>
  <si>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</si>
  <si>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</si>
  <si>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</si>
  <si>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</si>
  <si>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</si>
  <si>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</si>
  <si>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</si>
  <si>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</si>
  <si>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</si>
  <si>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</si>
  <si>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</si>
  <si>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</si>
  <si>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</si>
  <si>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</si>
  <si>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</si>
  <si>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</si>
  <si>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</si>
  <si>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</si>
  <si>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</si>
  <si>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</si>
  <si>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</si>
  <si>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</si>
  <si>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</si>
  <si>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</si>
  <si>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</si>
  <si>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</si>
  <si>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</si>
  <si>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</si>
  <si>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</si>
  <si>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</si>
  <si>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</si>
  <si>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</si>
  <si>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</si>
  <si>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</si>
  <si>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</si>
  <si>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</si>
  <si>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</si>
  <si>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</si>
  <si>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</si>
  <si>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</si>
  <si>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</si>
  <si>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</si>
  <si>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</si>
  <si>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</si>
  <si>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</si>
  <si>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</si>
  <si>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</si>
  <si>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</si>
  <si>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</si>
  <si>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</si>
  <si>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</si>
  <si>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</si>
  <si>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</si>
  <si>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</si>
  <si>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</si>
  <si>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</si>
  <si>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</si>
  <si>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</si>
  <si>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</si>
  <si>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</si>
  <si>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</si>
  <si>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</si>
  <si>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</si>
  <si>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</si>
  <si>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</si>
  <si>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</si>
  <si>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</si>
  <si>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</si>
  <si>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</si>
  <si>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</si>
  <si>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</si>
  <si>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</si>
  <si>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</si>
  <si>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</si>
  <si>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</si>
  <si>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</si>
  <si>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</si>
  <si>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</si>
  <si>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</si>
  <si>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كاش 100 %</t>
  </si>
  <si>
    <t>شيك 30 يوم 50 % - شيك 60 يوم 50%</t>
  </si>
  <si>
    <t>كاش 40% - 30% شيك اجل 45 يوم - 30% شيك اجل 75 يوم</t>
  </si>
  <si>
    <t>100% كاش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</si>
  <si>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</si>
  <si>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</si>
  <si>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</si>
  <si>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</si>
  <si>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</si>
  <si>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</si>
  <si>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</si>
  <si>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⚠ باقي 6 يوم</t>
  </si>
  <si>
    <t>كاش 25 % - باقي اجل 30 يوم</t>
  </si>
  <si>
    <t>اجل  60 يوم</t>
  </si>
  <si>
    <t>✅ مسدّد
161,065,766</t>
  </si>
  <si>
    <t>⚠ باقي 5 يوم</t>
  </si>
  <si>
    <t>⚠ باقي 36 يوم</t>
  </si>
  <si>
    <t>في ترانس</t>
  </si>
  <si>
    <t>كاش 50 % - اجل 50% كاش</t>
  </si>
  <si>
    <t>متبقي 12,071,894</t>
  </si>
  <si>
    <t>🟢 جارٍ
27,955,510</t>
  </si>
  <si>
    <t>12 يوم</t>
  </si>
  <si>
    <t>⚠ مستحق</t>
  </si>
  <si>
    <t>9 أيام</t>
  </si>
  <si>
    <t>8 أيام</t>
  </si>
  <si>
    <t>7 أيام</t>
  </si>
  <si>
    <t>6 أيام</t>
  </si>
  <si>
    <t>3 أيام</t>
  </si>
  <si>
    <t>يومان</t>
  </si>
  <si>
    <t>يوم واحد</t>
  </si>
  <si>
    <t>🔔 متبقي يوم واحد</t>
  </si>
  <si>
    <t>🔔 متبقي 7 أيام</t>
  </si>
  <si>
    <t>⚠ باقي 2 يوم</t>
  </si>
  <si>
    <t>⚠ مستحق النهاردة</t>
  </si>
  <si>
    <t>⚠ باقي 4 يوم</t>
  </si>
  <si>
    <t>⚠ باقي 8 يوم</t>
  </si>
  <si>
    <t>⚠ باقي 35 يوم</t>
  </si>
  <si>
    <t>⚠ باقي 39 يوم</t>
  </si>
  <si>
    <t>⚠ باقي 10 يوم</t>
  </si>
  <si>
    <t>⚠ باقي 33 يوم</t>
  </si>
  <si>
    <t>⚠ باقي 17 يوم</t>
  </si>
  <si>
    <t>⚠ متأخر
50,850,224</t>
  </si>
  <si>
    <t>🔔 قريب الاستحقاق
40,225,482</t>
  </si>
  <si>
    <t>13 يوم</t>
  </si>
  <si>
    <t>10 أيام</t>
  </si>
  <si>
    <t>4 أيام</t>
  </si>
  <si>
    <t>🔔 متبقي 6 أيام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</si>
</sst>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0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6" fillId="9" borderId="15" xfId="0" applyFont="1" applyFill="1" applyBorder="1" applyAlignment="1">
      <alignment horizontal="center" vertical="center"/>
    </xf>
    <xf numFmtId="0" fontId="16" fillId="9" borderId="16" xfId="0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5" fontId="12" fillId="15" borderId="1" xfId="0" applyNumberFormat="1" applyFont="1" applyFill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93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A16" sqref="A15:H16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14</v>
      </c>
      <c r="B3" s="19">
        <v>2798976</v>
      </c>
      <c r="C3" s="19">
        <v>17745354</v>
      </c>
      <c r="D3" s="78">
        <v>46317</v>
      </c>
      <c r="E3" s="19" t="s">
        <v>15</v>
      </c>
      <c r="F3" s="19" t="s">
        <v>10</v>
      </c>
      <c r="G3" s="19" t="s">
        <v>143</v>
      </c>
      <c r="H3" s="19"/>
      <c r="I3" s="19"/>
    </row>
    <row r="4" spans="1:9" x14ac:dyDescent="0.3">
      <c r="A4" s="19" t="s">
        <v>8</v>
      </c>
      <c r="B4" s="19">
        <v>307384</v>
      </c>
      <c r="C4" s="19">
        <v>13300000</v>
      </c>
      <c r="D4" s="78">
        <v>46321</v>
      </c>
      <c r="E4" s="19" t="s">
        <v>9</v>
      </c>
      <c r="F4" s="19" t="s">
        <v>10</v>
      </c>
      <c r="G4" s="19" t="s">
        <v>122</v>
      </c>
      <c r="H4" s="19" t="s">
        <v>130</v>
      </c>
      <c r="I4" s="19"/>
    </row>
    <row r="5" spans="1:9" x14ac:dyDescent="0.3">
      <c r="A5" s="19" t="s">
        <v>16</v>
      </c>
      <c r="B5" s="19">
        <v>13249953</v>
      </c>
      <c r="C5" s="19">
        <v>7167694.6299999999</v>
      </c>
      <c r="D5" s="78">
        <v>46321</v>
      </c>
      <c r="E5" s="19" t="s">
        <v>9</v>
      </c>
      <c r="F5" s="19" t="s">
        <v>10</v>
      </c>
      <c r="G5" s="19" t="s">
        <v>122</v>
      </c>
      <c r="H5" s="19"/>
      <c r="I5" s="19"/>
    </row>
    <row r="6" spans="1:9" x14ac:dyDescent="0.3">
      <c r="A6" s="19" t="s">
        <v>11</v>
      </c>
      <c r="B6" s="19">
        <v>551298792</v>
      </c>
      <c r="C6" s="19">
        <v>3433000</v>
      </c>
      <c r="D6" s="78">
        <v>46315</v>
      </c>
      <c r="E6" s="19" t="s">
        <v>12</v>
      </c>
      <c r="F6" s="19" t="s">
        <v>10</v>
      </c>
      <c r="G6" s="19" t="s">
        <v>144</v>
      </c>
      <c r="H6" s="19"/>
      <c r="I6" s="19"/>
    </row>
    <row r="7" spans="1:9" x14ac:dyDescent="0.3">
      <c r="A7" s="19" t="s">
        <v>11</v>
      </c>
      <c r="B7" s="19">
        <v>552585548</v>
      </c>
      <c r="C7" s="19">
        <v>805700</v>
      </c>
      <c r="D7" s="78">
        <v>46319</v>
      </c>
      <c r="E7" s="19" t="s">
        <v>12</v>
      </c>
      <c r="F7" s="19" t="s">
        <v>10</v>
      </c>
      <c r="G7" s="19" t="s">
        <v>145</v>
      </c>
      <c r="H7" s="19"/>
      <c r="I7" s="19"/>
    </row>
    <row r="8" spans="1:9" x14ac:dyDescent="0.3">
      <c r="A8" s="19" t="s">
        <v>11</v>
      </c>
      <c r="B8" s="19">
        <v>67491042</v>
      </c>
      <c r="C8" s="19">
        <v>304550</v>
      </c>
      <c r="D8" s="78">
        <v>46320</v>
      </c>
      <c r="E8" s="19" t="s">
        <v>107</v>
      </c>
      <c r="F8" s="19" t="s">
        <v>10</v>
      </c>
      <c r="G8" s="19" t="s">
        <v>126</v>
      </c>
      <c r="H8" s="19"/>
      <c r="I8" s="19"/>
    </row>
    <row r="9" spans="1:9" x14ac:dyDescent="0.3">
      <c r="A9" s="19" t="s">
        <v>11</v>
      </c>
      <c r="B9" s="19">
        <v>532070</v>
      </c>
      <c r="C9" s="19">
        <v>1500000</v>
      </c>
      <c r="D9" s="78">
        <v>46323</v>
      </c>
      <c r="E9" s="19" t="s">
        <v>108</v>
      </c>
      <c r="F9" s="19" t="s">
        <v>10</v>
      </c>
      <c r="G9" s="19" t="s">
        <v>146</v>
      </c>
      <c r="H9" s="19"/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78">
        <v>46350</v>
      </c>
      <c r="E10" s="19" t="s">
        <v>12</v>
      </c>
      <c r="F10" s="19" t="s">
        <v>10</v>
      </c>
      <c r="G10" s="19" t="s">
        <v>147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78">
        <v>46351</v>
      </c>
      <c r="E11" s="19" t="s">
        <v>107</v>
      </c>
      <c r="F11" s="19" t="s">
        <v>10</v>
      </c>
      <c r="G11" s="19" t="s">
        <v>127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78">
        <v>46354</v>
      </c>
      <c r="E12" s="19" t="s">
        <v>12</v>
      </c>
      <c r="F12" s="19" t="s">
        <v>10</v>
      </c>
      <c r="G12" s="19" t="s">
        <v>148</v>
      </c>
      <c r="H12" s="19"/>
      <c r="I12" s="19"/>
    </row>
    <row r="13" spans="1:9" x14ac:dyDescent="0.3">
      <c r="A13" s="19" t="s">
        <v>109</v>
      </c>
      <c r="B13" s="19">
        <v>74668</v>
      </c>
      <c r="C13" s="19">
        <v>1400000</v>
      </c>
      <c r="D13" s="78">
        <v>46325</v>
      </c>
      <c r="E13" s="19" t="s">
        <v>9</v>
      </c>
      <c r="F13" s="19" t="s">
        <v>10</v>
      </c>
      <c r="G13" s="19" t="s">
        <v>149</v>
      </c>
      <c r="H13" s="19"/>
      <c r="I13" s="19"/>
    </row>
    <row r="14" spans="1:9" x14ac:dyDescent="0.3">
      <c r="A14" s="19" t="s">
        <v>109</v>
      </c>
      <c r="B14" s="19">
        <v>74669</v>
      </c>
      <c r="C14" s="19">
        <v>1200000</v>
      </c>
      <c r="D14" s="78">
        <v>46325</v>
      </c>
      <c r="E14" s="19" t="s">
        <v>9</v>
      </c>
      <c r="F14" s="19" t="s">
        <v>10</v>
      </c>
      <c r="G14" s="19" t="s">
        <v>149</v>
      </c>
      <c r="H14" s="19"/>
      <c r="I14" s="19"/>
    </row>
    <row r="15" spans="1:9" x14ac:dyDescent="0.3">
      <c r="A15" s="19" t="s">
        <v>46</v>
      </c>
      <c r="B15" s="19"/>
      <c r="C15" s="19">
        <v>1923110</v>
      </c>
      <c r="D15" s="78">
        <v>46348</v>
      </c>
      <c r="E15" s="19"/>
      <c r="F15" s="19" t="s">
        <v>10</v>
      </c>
      <c r="G15" s="19" t="s">
        <v>150</v>
      </c>
      <c r="H15" s="19" t="s">
        <v>128</v>
      </c>
      <c r="I15" s="19"/>
    </row>
    <row r="16" spans="1:9" x14ac:dyDescent="0.3">
      <c r="A16" s="19" t="s">
        <v>109</v>
      </c>
      <c r="B16" s="19">
        <v>74675</v>
      </c>
      <c r="C16" s="19">
        <v>2395732.5</v>
      </c>
      <c r="D16" s="78">
        <v>46332</v>
      </c>
      <c r="E16" s="19" t="s">
        <v>9</v>
      </c>
      <c r="F16" s="19" t="s">
        <v>10</v>
      </c>
      <c r="G16" s="19" t="s">
        <v>151</v>
      </c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4"/>
  <sheetViews>
    <sheetView rightToLeft="1" workbookViewId="0">
      <selection activeCell="B4" sqref="B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66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116</v>
      </c>
      <c r="B2" s="17" t="s">
        <v>1</v>
      </c>
      <c r="C2" s="65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117</v>
      </c>
      <c r="B3" s="19">
        <v>77838205</v>
      </c>
      <c r="C3" s="32">
        <v>30000000</v>
      </c>
      <c r="D3" s="20">
        <v>46315</v>
      </c>
      <c r="E3" s="19" t="s">
        <v>118</v>
      </c>
      <c r="F3" s="19" t="s">
        <v>119</v>
      </c>
      <c r="G3" s="19" t="str">
        <f ca="1">IF(D3="","",IF(D3&lt;TODAY(),"⛔ متأخر "&amp;TODAY()-D3&amp;" يوم",IF(D3=TODAY(),"🔔 مستحق اليوم","⚠ باقي "&amp;D3-TODAY()&amp;" يوم")))</f>
        <v>🔔 مستحق اليوم</v>
      </c>
      <c r="H3" s="19"/>
      <c r="I3" s="19"/>
    </row>
    <row r="4" spans="1:9" x14ac:dyDescent="0.3">
      <c r="A4" s="19" t="s">
        <v>117</v>
      </c>
      <c r="B4" s="19">
        <v>77838206</v>
      </c>
      <c r="C4" s="32">
        <v>30000000</v>
      </c>
      <c r="D4" s="20">
        <v>46320</v>
      </c>
      <c r="E4" s="19" t="s">
        <v>118</v>
      </c>
      <c r="F4" s="19" t="s">
        <v>119</v>
      </c>
      <c r="G4" s="19" t="str">
        <f ca="1">IF(D4="","",IF(D4&lt;TODAY(),"⛔ متأخر "&amp;TODAY()-D4&amp;" يوم",IF(D4=TODAY(),"🔔 مستحق اليوم","⚠ باقي "&amp;D4-TODAY()&amp;" يوم")))</f>
        <v>⚠ باقي 5 يوم</v>
      </c>
      <c r="H4" s="19"/>
      <c r="I4" s="19"/>
    </row>
    <row r="5" spans="1:9" x14ac:dyDescent="0.3">
      <c r="A5" s="19" t="s">
        <v>120</v>
      </c>
      <c r="B5" s="19">
        <v>77838207</v>
      </c>
      <c r="C5" s="32">
        <v>290000</v>
      </c>
      <c r="D5" s="20">
        <v>46342</v>
      </c>
      <c r="E5" s="19" t="s">
        <v>118</v>
      </c>
      <c r="F5" s="19" t="s">
        <v>119</v>
      </c>
      <c r="G5" s="19" t="str">
        <f t="shared" ref="G5:G18" ca="1" si="0">IF(D5="","",IF(D5&lt;TODAY(),"⛔ متأخر "&amp;TODAY()-D5&amp;" يوم",IF(D5=TODAY(),"🔔 مستحق اليوم","⚠ باقي "&amp;D5-TODAY()&amp;" يوم")))</f>
        <v>⚠ باقي 27 يوم</v>
      </c>
      <c r="H5" s="19"/>
      <c r="I5" s="19"/>
    </row>
    <row r="6" spans="1:9" x14ac:dyDescent="0.3">
      <c r="A6" s="19" t="s">
        <v>120</v>
      </c>
      <c r="B6" s="19">
        <v>77838208</v>
      </c>
      <c r="C6" s="32">
        <v>289000</v>
      </c>
      <c r="D6" s="20">
        <v>46372</v>
      </c>
      <c r="E6" s="19" t="s">
        <v>118</v>
      </c>
      <c r="F6" s="19" t="s">
        <v>119</v>
      </c>
      <c r="G6" s="19" t="str">
        <f t="shared" ca="1" si="0"/>
        <v>⚠ باقي 57 يوم</v>
      </c>
      <c r="H6" s="19"/>
      <c r="I6" s="19"/>
    </row>
    <row r="7" spans="1:9" x14ac:dyDescent="0.3">
      <c r="A7" s="19" t="s">
        <v>121</v>
      </c>
      <c r="B7" s="19">
        <v>77838188</v>
      </c>
      <c r="C7" s="32">
        <v>13281.81</v>
      </c>
      <c r="D7" s="20">
        <v>46336</v>
      </c>
      <c r="E7" s="19" t="s">
        <v>118</v>
      </c>
      <c r="F7" s="19" t="s">
        <v>119</v>
      </c>
      <c r="G7" s="19" t="str">
        <f t="shared" ca="1" si="0"/>
        <v>⚠ باقي 21 يوم</v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 t="str">
        <f t="shared" ca="1" si="0"/>
        <v/>
      </c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32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302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17</v>
      </c>
      <c r="B2" s="32" t="s">
        <v>18</v>
      </c>
      <c r="C2" s="32" t="s">
        <v>19</v>
      </c>
      <c r="D2" s="31" t="s">
        <v>20</v>
      </c>
      <c r="E2" s="19" t="s">
        <v>21</v>
      </c>
      <c r="F2" s="19" t="s">
        <v>22</v>
      </c>
      <c r="G2" s="19" t="s">
        <v>23</v>
      </c>
      <c r="H2" s="19" t="s">
        <v>24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25</v>
      </c>
      <c r="F3" s="78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25</v>
      </c>
      <c r="F4" s="78">
        <v>46200</v>
      </c>
      <c r="G4" s="34">
        <v>1384300.5000000002</v>
      </c>
      <c r="H4" s="34">
        <v>1414127.0000000002</v>
      </c>
    </row>
    <row r="5" spans="1:8" x14ac:dyDescent="0.3">
      <c r="A5" s="19" t="s">
        <v>16</v>
      </c>
      <c r="B5" s="32">
        <v>41000</v>
      </c>
      <c r="C5" s="32">
        <v>42500</v>
      </c>
      <c r="D5" s="31">
        <v>19</v>
      </c>
      <c r="E5" s="19" t="s">
        <v>25</v>
      </c>
      <c r="F5" s="78">
        <v>46209</v>
      </c>
      <c r="G5" s="34">
        <v>559240</v>
      </c>
      <c r="H5" s="34">
        <v>579700</v>
      </c>
    </row>
    <row r="6" spans="1:8" x14ac:dyDescent="0.3">
      <c r="A6" s="19" t="s">
        <v>16</v>
      </c>
      <c r="B6" s="32">
        <v>41000</v>
      </c>
      <c r="C6" s="32">
        <v>42500</v>
      </c>
      <c r="D6" s="31">
        <v>19</v>
      </c>
      <c r="E6" s="19" t="s">
        <v>25</v>
      </c>
      <c r="F6" s="78">
        <v>46209</v>
      </c>
      <c r="G6" s="34">
        <v>558420</v>
      </c>
      <c r="H6" s="34">
        <v>578850</v>
      </c>
    </row>
    <row r="7" spans="1:8" x14ac:dyDescent="0.3">
      <c r="A7" s="19" t="s">
        <v>16</v>
      </c>
      <c r="B7" s="32">
        <v>41000</v>
      </c>
      <c r="C7" s="32">
        <v>42500</v>
      </c>
      <c r="D7" s="31">
        <v>19</v>
      </c>
      <c r="E7" s="19" t="s">
        <v>25</v>
      </c>
      <c r="F7" s="78">
        <v>46209</v>
      </c>
      <c r="G7" s="34">
        <v>1205400</v>
      </c>
      <c r="H7" s="34">
        <v>1249500</v>
      </c>
    </row>
    <row r="8" spans="1:8" hidden="1" x14ac:dyDescent="0.3">
      <c r="A8" s="19" t="s">
        <v>16</v>
      </c>
      <c r="B8" s="32">
        <v>41000</v>
      </c>
      <c r="C8" s="32">
        <v>42500</v>
      </c>
      <c r="D8" s="31">
        <v>19</v>
      </c>
      <c r="E8" s="19" t="s">
        <v>25</v>
      </c>
      <c r="F8" s="78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26</v>
      </c>
      <c r="F9" s="78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26</v>
      </c>
      <c r="F10" s="78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26</v>
      </c>
      <c r="F11" s="78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26</v>
      </c>
      <c r="F12" s="78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26</v>
      </c>
      <c r="F13" s="78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26</v>
      </c>
      <c r="F14" s="78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26</v>
      </c>
      <c r="F15" s="78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26</v>
      </c>
      <c r="F16" s="78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26</v>
      </c>
      <c r="F17" s="78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26</v>
      </c>
      <c r="F18" s="78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26</v>
      </c>
      <c r="F19" s="78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26</v>
      </c>
      <c r="F20" s="78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26</v>
      </c>
      <c r="F21" s="78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26</v>
      </c>
      <c r="F22" s="78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26</v>
      </c>
      <c r="F23" s="78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26</v>
      </c>
      <c r="F24" s="79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27</v>
      </c>
      <c r="F25" s="79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27</v>
      </c>
      <c r="F26" s="79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27</v>
      </c>
      <c r="F27" s="79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27</v>
      </c>
      <c r="F28" s="79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28</v>
      </c>
      <c r="B29" s="35">
        <v>37500</v>
      </c>
      <c r="C29" s="35">
        <v>37600</v>
      </c>
      <c r="D29" s="31" t="s">
        <v>29</v>
      </c>
      <c r="E29" s="19" t="s">
        <v>30</v>
      </c>
      <c r="F29" s="79">
        <v>46221</v>
      </c>
      <c r="G29" s="34">
        <v>895875</v>
      </c>
      <c r="H29" s="34">
        <v>898264</v>
      </c>
    </row>
    <row r="30" spans="1:8" x14ac:dyDescent="0.3">
      <c r="A30" s="34" t="s">
        <v>28</v>
      </c>
      <c r="B30" s="35">
        <v>37500</v>
      </c>
      <c r="C30" s="35">
        <v>37600</v>
      </c>
      <c r="D30" s="31" t="s">
        <v>29</v>
      </c>
      <c r="E30" s="19" t="s">
        <v>30</v>
      </c>
      <c r="F30" s="79">
        <v>46221</v>
      </c>
      <c r="G30" s="34">
        <v>443250</v>
      </c>
      <c r="H30" s="34">
        <v>444432</v>
      </c>
    </row>
    <row r="31" spans="1:8" x14ac:dyDescent="0.3">
      <c r="A31" s="34" t="s">
        <v>28</v>
      </c>
      <c r="B31" s="35">
        <v>37500</v>
      </c>
      <c r="C31" s="35">
        <v>37600</v>
      </c>
      <c r="D31" s="31" t="s">
        <v>29</v>
      </c>
      <c r="E31" s="19" t="s">
        <v>30</v>
      </c>
      <c r="F31" s="79">
        <v>46221</v>
      </c>
      <c r="G31" s="34">
        <v>805125</v>
      </c>
      <c r="H31" s="34">
        <v>807272</v>
      </c>
    </row>
    <row r="32" spans="1:8" x14ac:dyDescent="0.3">
      <c r="A32" s="34" t="s">
        <v>28</v>
      </c>
      <c r="B32" s="35">
        <v>37500</v>
      </c>
      <c r="C32" s="35">
        <v>37600</v>
      </c>
      <c r="D32" s="31" t="s">
        <v>29</v>
      </c>
      <c r="E32" s="19" t="s">
        <v>30</v>
      </c>
      <c r="F32" s="79">
        <v>46217</v>
      </c>
      <c r="G32" s="34">
        <v>1117125</v>
      </c>
      <c r="H32" s="34">
        <v>1120104</v>
      </c>
    </row>
    <row r="33" spans="1:8" x14ac:dyDescent="0.3">
      <c r="A33" s="34" t="s">
        <v>28</v>
      </c>
      <c r="B33" s="35">
        <v>37500</v>
      </c>
      <c r="C33" s="35">
        <v>37600</v>
      </c>
      <c r="D33" s="31" t="s">
        <v>29</v>
      </c>
      <c r="E33" s="19" t="s">
        <v>30</v>
      </c>
      <c r="F33" s="79">
        <v>46217</v>
      </c>
      <c r="G33" s="34">
        <v>1248375</v>
      </c>
      <c r="H33" s="34">
        <v>1251704</v>
      </c>
    </row>
    <row r="34" spans="1:8" x14ac:dyDescent="0.3">
      <c r="A34" s="34" t="s">
        <v>28</v>
      </c>
      <c r="B34" s="35">
        <v>37500</v>
      </c>
      <c r="C34" s="35">
        <v>37600</v>
      </c>
      <c r="D34" s="31" t="s">
        <v>29</v>
      </c>
      <c r="E34" s="19" t="s">
        <v>30</v>
      </c>
      <c r="F34" s="79">
        <v>46217</v>
      </c>
      <c r="G34" s="34">
        <v>1920000</v>
      </c>
      <c r="H34" s="34">
        <v>1925120</v>
      </c>
    </row>
    <row r="35" spans="1:8" x14ac:dyDescent="0.3">
      <c r="A35" s="19" t="s">
        <v>28</v>
      </c>
      <c r="B35" s="32">
        <v>37500</v>
      </c>
      <c r="C35" s="32">
        <v>37600</v>
      </c>
      <c r="D35" s="31" t="s">
        <v>29</v>
      </c>
      <c r="E35" s="19" t="s">
        <v>30</v>
      </c>
      <c r="F35" s="78">
        <v>46217</v>
      </c>
      <c r="G35" s="34">
        <v>438000</v>
      </c>
      <c r="H35" s="34">
        <v>439168</v>
      </c>
    </row>
    <row r="36" spans="1:8" x14ac:dyDescent="0.3">
      <c r="A36" s="19" t="s">
        <v>28</v>
      </c>
      <c r="B36" s="32">
        <v>37500</v>
      </c>
      <c r="C36" s="32">
        <v>37600</v>
      </c>
      <c r="D36" s="31" t="s">
        <v>29</v>
      </c>
      <c r="E36" s="19" t="s">
        <v>30</v>
      </c>
      <c r="F36" s="78">
        <v>46217</v>
      </c>
      <c r="G36" s="34">
        <v>292500</v>
      </c>
      <c r="H36" s="34">
        <v>293280</v>
      </c>
    </row>
    <row r="37" spans="1:8" x14ac:dyDescent="0.3">
      <c r="A37" s="19" t="s">
        <v>28</v>
      </c>
      <c r="B37" s="32">
        <v>37500</v>
      </c>
      <c r="C37" s="32">
        <v>37600</v>
      </c>
      <c r="D37" s="31" t="s">
        <v>29</v>
      </c>
      <c r="E37" s="19" t="s">
        <v>30</v>
      </c>
      <c r="F37" s="78">
        <v>46217</v>
      </c>
      <c r="G37" s="34">
        <v>807750</v>
      </c>
      <c r="H37" s="34">
        <v>809904</v>
      </c>
    </row>
    <row r="38" spans="1:8" x14ac:dyDescent="0.3">
      <c r="A38" s="19" t="s">
        <v>28</v>
      </c>
      <c r="B38" s="32">
        <v>37500</v>
      </c>
      <c r="C38" s="32">
        <v>37600</v>
      </c>
      <c r="D38" s="31" t="s">
        <v>29</v>
      </c>
      <c r="E38" s="19" t="s">
        <v>30</v>
      </c>
      <c r="F38" s="78">
        <v>46217</v>
      </c>
      <c r="G38" s="34">
        <v>295500</v>
      </c>
      <c r="H38" s="34">
        <v>296288</v>
      </c>
    </row>
    <row r="39" spans="1:8" x14ac:dyDescent="0.3">
      <c r="A39" s="19" t="s">
        <v>28</v>
      </c>
      <c r="B39" s="32">
        <v>37500</v>
      </c>
      <c r="C39" s="32">
        <v>37600</v>
      </c>
      <c r="D39" s="31" t="s">
        <v>29</v>
      </c>
      <c r="E39" s="19" t="s">
        <v>30</v>
      </c>
      <c r="F39" s="78">
        <v>46217</v>
      </c>
      <c r="G39" s="34">
        <v>120000</v>
      </c>
      <c r="H39" s="34">
        <v>120320</v>
      </c>
    </row>
    <row r="40" spans="1:8" x14ac:dyDescent="0.3">
      <c r="A40" s="19" t="s">
        <v>28</v>
      </c>
      <c r="B40" s="32">
        <v>37500</v>
      </c>
      <c r="C40" s="32">
        <v>37600</v>
      </c>
      <c r="D40" s="31" t="s">
        <v>29</v>
      </c>
      <c r="E40" s="19" t="s">
        <v>30</v>
      </c>
      <c r="F40" s="78">
        <v>46217</v>
      </c>
      <c r="G40" s="34">
        <v>1856250</v>
      </c>
      <c r="H40" s="34">
        <v>1861200</v>
      </c>
    </row>
    <row r="41" spans="1:8" x14ac:dyDescent="0.3">
      <c r="A41" s="19" t="s">
        <v>28</v>
      </c>
      <c r="B41" s="32">
        <v>37500</v>
      </c>
      <c r="C41" s="32">
        <v>37600</v>
      </c>
      <c r="D41" s="31" t="s">
        <v>29</v>
      </c>
      <c r="E41" s="19" t="s">
        <v>30</v>
      </c>
      <c r="F41" s="78">
        <v>46217</v>
      </c>
      <c r="G41" s="34">
        <v>1854000</v>
      </c>
      <c r="H41" s="34">
        <v>1858944</v>
      </c>
    </row>
    <row r="42" spans="1:8" x14ac:dyDescent="0.3">
      <c r="A42" s="19" t="s">
        <v>28</v>
      </c>
      <c r="B42" s="32">
        <v>37500</v>
      </c>
      <c r="C42" s="32">
        <v>37600</v>
      </c>
      <c r="D42" s="31" t="s">
        <v>29</v>
      </c>
      <c r="E42" s="19" t="s">
        <v>30</v>
      </c>
      <c r="F42" s="78">
        <v>46217</v>
      </c>
      <c r="G42" s="34">
        <v>1462125</v>
      </c>
      <c r="H42" s="34">
        <v>1466024</v>
      </c>
    </row>
    <row r="43" spans="1:8" x14ac:dyDescent="0.3">
      <c r="A43" s="19" t="s">
        <v>28</v>
      </c>
      <c r="B43" s="32">
        <v>37500</v>
      </c>
      <c r="C43" s="32">
        <v>37600</v>
      </c>
      <c r="D43" s="31" t="s">
        <v>29</v>
      </c>
      <c r="E43" s="19" t="s">
        <v>30</v>
      </c>
      <c r="F43" s="78">
        <v>46217</v>
      </c>
      <c r="G43" s="34">
        <v>588375</v>
      </c>
      <c r="H43" s="34">
        <v>589944</v>
      </c>
    </row>
    <row r="44" spans="1:8" x14ac:dyDescent="0.3">
      <c r="A44" s="19" t="s">
        <v>28</v>
      </c>
      <c r="B44" s="32">
        <v>37500</v>
      </c>
      <c r="C44" s="32">
        <v>37600</v>
      </c>
      <c r="D44" s="31" t="s">
        <v>29</v>
      </c>
      <c r="E44" s="19" t="s">
        <v>30</v>
      </c>
      <c r="F44" s="78">
        <v>46217</v>
      </c>
      <c r="G44" s="34">
        <v>1976250</v>
      </c>
      <c r="H44" s="34">
        <v>1981520</v>
      </c>
    </row>
    <row r="45" spans="1:8" x14ac:dyDescent="0.3">
      <c r="A45" s="19" t="s">
        <v>28</v>
      </c>
      <c r="B45" s="32">
        <v>37500</v>
      </c>
      <c r="C45" s="32">
        <v>37600</v>
      </c>
      <c r="D45" s="31" t="s">
        <v>29</v>
      </c>
      <c r="E45" s="19" t="s">
        <v>30</v>
      </c>
      <c r="F45" s="78">
        <v>46217</v>
      </c>
      <c r="G45" s="34">
        <v>1020000</v>
      </c>
      <c r="H45" s="34">
        <v>1022720</v>
      </c>
    </row>
    <row r="46" spans="1:8" x14ac:dyDescent="0.3">
      <c r="A46" s="19" t="s">
        <v>28</v>
      </c>
      <c r="B46" s="32">
        <v>37500</v>
      </c>
      <c r="C46" s="32">
        <v>37600</v>
      </c>
      <c r="D46" s="31" t="s">
        <v>29</v>
      </c>
      <c r="E46" s="19" t="s">
        <v>30</v>
      </c>
      <c r="F46" s="78">
        <v>46217</v>
      </c>
      <c r="G46" s="34">
        <v>120000</v>
      </c>
      <c r="H46" s="34">
        <v>120320</v>
      </c>
    </row>
    <row r="47" spans="1:8" x14ac:dyDescent="0.3">
      <c r="A47" s="19" t="s">
        <v>28</v>
      </c>
      <c r="B47" s="32">
        <v>37500</v>
      </c>
      <c r="C47" s="32">
        <v>37600</v>
      </c>
      <c r="D47" s="31" t="s">
        <v>29</v>
      </c>
      <c r="E47" s="19" t="s">
        <v>30</v>
      </c>
      <c r="F47" s="78">
        <v>46217</v>
      </c>
      <c r="G47" s="34">
        <v>120000</v>
      </c>
      <c r="H47" s="34">
        <v>120320</v>
      </c>
    </row>
    <row r="48" spans="1:8" x14ac:dyDescent="0.3">
      <c r="A48" s="19" t="s">
        <v>28</v>
      </c>
      <c r="B48" s="32">
        <v>37500</v>
      </c>
      <c r="C48" s="32">
        <v>37600</v>
      </c>
      <c r="D48" s="31" t="s">
        <v>29</v>
      </c>
      <c r="E48" s="19" t="s">
        <v>30</v>
      </c>
      <c r="F48" s="78">
        <v>46217</v>
      </c>
      <c r="G48" s="34">
        <v>368625</v>
      </c>
      <c r="H48" s="34">
        <v>369608</v>
      </c>
    </row>
    <row r="49" spans="1:8" x14ac:dyDescent="0.3">
      <c r="A49" s="19" t="s">
        <v>28</v>
      </c>
      <c r="B49" s="32">
        <v>37500</v>
      </c>
      <c r="C49" s="32">
        <v>37600</v>
      </c>
      <c r="D49" s="31" t="s">
        <v>29</v>
      </c>
      <c r="E49" s="19" t="s">
        <v>30</v>
      </c>
      <c r="F49" s="78">
        <v>46217</v>
      </c>
      <c r="G49" s="34">
        <v>957375</v>
      </c>
      <c r="H49" s="34">
        <v>959928</v>
      </c>
    </row>
    <row r="50" spans="1:8" x14ac:dyDescent="0.3">
      <c r="A50" s="19" t="s">
        <v>28</v>
      </c>
      <c r="B50" s="32">
        <v>37500</v>
      </c>
      <c r="C50" s="32">
        <v>37600</v>
      </c>
      <c r="D50" s="31" t="s">
        <v>29</v>
      </c>
      <c r="E50" s="19" t="s">
        <v>30</v>
      </c>
      <c r="F50" s="78">
        <v>46217</v>
      </c>
      <c r="G50" s="34">
        <v>733500</v>
      </c>
      <c r="H50" s="34">
        <v>735456</v>
      </c>
    </row>
    <row r="51" spans="1:8" x14ac:dyDescent="0.3">
      <c r="A51" s="19" t="s">
        <v>28</v>
      </c>
      <c r="B51" s="32">
        <v>37500</v>
      </c>
      <c r="C51" s="32">
        <v>37600</v>
      </c>
      <c r="D51" s="31" t="s">
        <v>29</v>
      </c>
      <c r="E51" s="19" t="s">
        <v>30</v>
      </c>
      <c r="F51" s="78">
        <v>46217</v>
      </c>
      <c r="G51" s="34">
        <v>2197500</v>
      </c>
      <c r="H51" s="34">
        <v>2203360</v>
      </c>
    </row>
    <row r="52" spans="1:8" x14ac:dyDescent="0.3">
      <c r="A52" s="19" t="s">
        <v>28</v>
      </c>
      <c r="B52" s="32">
        <v>37500</v>
      </c>
      <c r="C52" s="32">
        <v>37600</v>
      </c>
      <c r="D52" s="31" t="s">
        <v>29</v>
      </c>
      <c r="E52" s="19" t="s">
        <v>30</v>
      </c>
      <c r="F52" s="78">
        <v>46217</v>
      </c>
      <c r="G52" s="34">
        <v>1053750</v>
      </c>
      <c r="H52" s="34">
        <v>1056560</v>
      </c>
    </row>
    <row r="53" spans="1:8" x14ac:dyDescent="0.3">
      <c r="A53" s="19" t="s">
        <v>28</v>
      </c>
      <c r="B53" s="32">
        <v>37500</v>
      </c>
      <c r="C53" s="32">
        <v>37600</v>
      </c>
      <c r="D53" s="31" t="s">
        <v>29</v>
      </c>
      <c r="E53" s="19" t="s">
        <v>30</v>
      </c>
      <c r="F53" s="78">
        <v>46217</v>
      </c>
      <c r="G53" s="34">
        <v>2089500</v>
      </c>
      <c r="H53" s="34">
        <v>2095072</v>
      </c>
    </row>
    <row r="54" spans="1:8" x14ac:dyDescent="0.3">
      <c r="A54" s="19" t="s">
        <v>28</v>
      </c>
      <c r="B54" s="32">
        <v>37500</v>
      </c>
      <c r="C54" s="32">
        <v>37600</v>
      </c>
      <c r="D54" s="31" t="s">
        <v>29</v>
      </c>
      <c r="E54" s="19" t="s">
        <v>30</v>
      </c>
      <c r="F54" s="78">
        <v>46217</v>
      </c>
      <c r="G54" s="34">
        <v>573000</v>
      </c>
      <c r="H54" s="34">
        <v>574528</v>
      </c>
    </row>
    <row r="55" spans="1:8" x14ac:dyDescent="0.3">
      <c r="A55" s="19" t="s">
        <v>28</v>
      </c>
      <c r="B55" s="32">
        <v>37500</v>
      </c>
      <c r="C55" s="32">
        <v>37600</v>
      </c>
      <c r="D55" s="31" t="s">
        <v>29</v>
      </c>
      <c r="E55" s="19" t="s">
        <v>30</v>
      </c>
      <c r="F55" s="78"/>
      <c r="G55" s="34">
        <v>0</v>
      </c>
      <c r="H55" s="34">
        <v>0</v>
      </c>
    </row>
    <row r="56" spans="1:8" x14ac:dyDescent="0.3">
      <c r="A56" s="19" t="s">
        <v>28</v>
      </c>
      <c r="B56" s="32">
        <v>37500</v>
      </c>
      <c r="C56" s="32">
        <v>37600</v>
      </c>
      <c r="D56" s="31" t="s">
        <v>29</v>
      </c>
      <c r="E56" s="19" t="s">
        <v>30</v>
      </c>
      <c r="F56" s="78">
        <v>46217</v>
      </c>
      <c r="G56" s="34">
        <v>1353000</v>
      </c>
      <c r="H56" s="34">
        <v>1356608</v>
      </c>
    </row>
    <row r="57" spans="1:8" x14ac:dyDescent="0.3">
      <c r="A57" s="19" t="s">
        <v>28</v>
      </c>
      <c r="B57" s="32">
        <v>37500</v>
      </c>
      <c r="C57" s="32">
        <v>37600</v>
      </c>
      <c r="D57" s="31" t="s">
        <v>29</v>
      </c>
      <c r="E57" s="19" t="s">
        <v>30</v>
      </c>
      <c r="F57" s="78">
        <v>46218</v>
      </c>
      <c r="G57" s="34">
        <v>239250</v>
      </c>
      <c r="H57" s="34">
        <v>239888</v>
      </c>
    </row>
    <row r="58" spans="1:8" x14ac:dyDescent="0.3">
      <c r="A58" s="19" t="s">
        <v>28</v>
      </c>
      <c r="B58" s="32">
        <v>37500</v>
      </c>
      <c r="C58" s="32">
        <v>37600</v>
      </c>
      <c r="D58" s="31" t="s">
        <v>29</v>
      </c>
      <c r="E58" s="19" t="s">
        <v>30</v>
      </c>
      <c r="F58" s="78">
        <v>46218</v>
      </c>
      <c r="G58" s="34">
        <v>119250</v>
      </c>
      <c r="H58" s="34">
        <v>119568</v>
      </c>
    </row>
    <row r="59" spans="1:8" x14ac:dyDescent="0.3">
      <c r="A59" s="19" t="s">
        <v>28</v>
      </c>
      <c r="B59" s="32">
        <v>37500</v>
      </c>
      <c r="C59" s="32">
        <v>37600</v>
      </c>
      <c r="D59" s="31" t="s">
        <v>29</v>
      </c>
      <c r="E59" s="19" t="s">
        <v>30</v>
      </c>
      <c r="F59" s="78">
        <v>46218</v>
      </c>
      <c r="G59" s="34">
        <v>1832250</v>
      </c>
      <c r="H59" s="34">
        <v>1837136</v>
      </c>
    </row>
    <row r="60" spans="1:8" x14ac:dyDescent="0.3">
      <c r="A60" s="19" t="s">
        <v>28</v>
      </c>
      <c r="B60" s="32">
        <v>37500</v>
      </c>
      <c r="C60" s="32">
        <v>37600</v>
      </c>
      <c r="D60" s="31" t="s">
        <v>29</v>
      </c>
      <c r="E60" s="19" t="s">
        <v>30</v>
      </c>
      <c r="F60" s="78">
        <v>46218</v>
      </c>
      <c r="G60" s="34">
        <v>1492875</v>
      </c>
      <c r="H60" s="34">
        <v>1496856</v>
      </c>
    </row>
    <row r="61" spans="1:8" x14ac:dyDescent="0.3">
      <c r="A61" s="19" t="s">
        <v>28</v>
      </c>
      <c r="B61" s="32">
        <v>37500</v>
      </c>
      <c r="C61" s="32">
        <v>37600</v>
      </c>
      <c r="D61" s="31" t="s">
        <v>29</v>
      </c>
      <c r="E61" s="19" t="s">
        <v>30</v>
      </c>
      <c r="F61" s="78">
        <v>46218</v>
      </c>
      <c r="G61" s="34">
        <v>148500</v>
      </c>
      <c r="H61" s="34">
        <v>148896</v>
      </c>
    </row>
    <row r="62" spans="1:8" x14ac:dyDescent="0.3">
      <c r="A62" s="19" t="s">
        <v>28</v>
      </c>
      <c r="B62" s="32">
        <v>37500</v>
      </c>
      <c r="C62" s="32">
        <v>37600</v>
      </c>
      <c r="D62" s="31" t="s">
        <v>29</v>
      </c>
      <c r="E62" s="19" t="s">
        <v>30</v>
      </c>
      <c r="F62" s="78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28</v>
      </c>
      <c r="B63" s="32">
        <v>37500</v>
      </c>
      <c r="C63" s="32">
        <v>37600</v>
      </c>
      <c r="D63" s="31" t="s">
        <v>29</v>
      </c>
      <c r="E63" s="19" t="s">
        <v>30</v>
      </c>
      <c r="F63" s="78">
        <v>46218</v>
      </c>
      <c r="G63" s="34">
        <v>215625</v>
      </c>
      <c r="H63" s="34">
        <v>216200</v>
      </c>
    </row>
    <row r="64" spans="1:8" x14ac:dyDescent="0.3">
      <c r="A64" s="19" t="s">
        <v>28</v>
      </c>
      <c r="B64" s="32">
        <v>37500</v>
      </c>
      <c r="C64" s="32">
        <v>37600</v>
      </c>
      <c r="D64" s="31" t="s">
        <v>29</v>
      </c>
      <c r="E64" s="19" t="s">
        <v>30</v>
      </c>
      <c r="F64" s="78">
        <v>46217</v>
      </c>
      <c r="G64" s="34">
        <v>875250</v>
      </c>
      <c r="H64" s="34">
        <v>877584</v>
      </c>
    </row>
    <row r="65" spans="1:8" x14ac:dyDescent="0.3">
      <c r="A65" s="19" t="s">
        <v>28</v>
      </c>
      <c r="B65" s="32">
        <v>37500</v>
      </c>
      <c r="C65" s="32">
        <v>37600</v>
      </c>
      <c r="D65" s="31" t="s">
        <v>29</v>
      </c>
      <c r="E65" s="19" t="s">
        <v>30</v>
      </c>
      <c r="F65" s="78">
        <v>46217</v>
      </c>
      <c r="G65" s="34">
        <v>725625</v>
      </c>
      <c r="H65" s="34">
        <v>727560</v>
      </c>
    </row>
    <row r="66" spans="1:8" x14ac:dyDescent="0.3">
      <c r="A66" s="19" t="s">
        <v>28</v>
      </c>
      <c r="B66" s="32">
        <v>37500</v>
      </c>
      <c r="C66" s="32">
        <v>37600</v>
      </c>
      <c r="D66" s="31" t="s">
        <v>29</v>
      </c>
      <c r="E66" s="19" t="s">
        <v>30</v>
      </c>
      <c r="F66" s="78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28</v>
      </c>
      <c r="B67" s="32">
        <v>37500</v>
      </c>
      <c r="C67" s="32">
        <v>37600</v>
      </c>
      <c r="D67" s="31" t="s">
        <v>31</v>
      </c>
      <c r="E67" s="19" t="s">
        <v>30</v>
      </c>
      <c r="F67" s="78">
        <v>46218</v>
      </c>
      <c r="G67" s="34">
        <v>119250</v>
      </c>
      <c r="H67" s="34">
        <v>119568</v>
      </c>
    </row>
    <row r="68" spans="1:8" x14ac:dyDescent="0.3">
      <c r="A68" s="19" t="s">
        <v>28</v>
      </c>
      <c r="B68" s="32">
        <v>37500</v>
      </c>
      <c r="C68" s="32">
        <v>37600</v>
      </c>
      <c r="D68" s="31" t="s">
        <v>31</v>
      </c>
      <c r="E68" s="19" t="s">
        <v>30</v>
      </c>
      <c r="F68" s="78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28</v>
      </c>
      <c r="B69" s="32">
        <v>37500</v>
      </c>
      <c r="C69" s="32">
        <v>37600</v>
      </c>
      <c r="D69" s="31" t="s">
        <v>31</v>
      </c>
      <c r="E69" s="19" t="s">
        <v>30</v>
      </c>
      <c r="F69" s="78">
        <v>46218</v>
      </c>
      <c r="G69" s="34">
        <v>664125</v>
      </c>
      <c r="H69" s="34">
        <v>665896</v>
      </c>
    </row>
    <row r="70" spans="1:8" x14ac:dyDescent="0.3">
      <c r="A70" s="19" t="s">
        <v>28</v>
      </c>
      <c r="B70" s="32">
        <v>37500</v>
      </c>
      <c r="C70" s="32">
        <v>37600</v>
      </c>
      <c r="D70" s="31" t="s">
        <v>31</v>
      </c>
      <c r="E70" s="19" t="s">
        <v>30</v>
      </c>
      <c r="F70" s="78">
        <v>46218</v>
      </c>
      <c r="G70" s="34">
        <v>365250</v>
      </c>
      <c r="H70" s="34">
        <v>366224</v>
      </c>
    </row>
    <row r="71" spans="1:8" x14ac:dyDescent="0.3">
      <c r="A71" s="19" t="s">
        <v>28</v>
      </c>
      <c r="B71" s="32">
        <v>37500</v>
      </c>
      <c r="C71" s="32">
        <v>37600</v>
      </c>
      <c r="D71" s="31" t="s">
        <v>31</v>
      </c>
      <c r="E71" s="19" t="s">
        <v>30</v>
      </c>
      <c r="F71" s="78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28</v>
      </c>
      <c r="B72" s="32">
        <v>37500</v>
      </c>
      <c r="C72" s="32">
        <v>37600</v>
      </c>
      <c r="D72" s="31" t="s">
        <v>31</v>
      </c>
      <c r="E72" s="19" t="s">
        <v>30</v>
      </c>
      <c r="F72" s="78">
        <v>46217</v>
      </c>
      <c r="G72" s="34">
        <v>120000</v>
      </c>
      <c r="H72" s="34">
        <v>120320</v>
      </c>
    </row>
    <row r="73" spans="1:8" x14ac:dyDescent="0.3">
      <c r="A73" s="19" t="s">
        <v>28</v>
      </c>
      <c r="B73" s="32">
        <v>37500</v>
      </c>
      <c r="C73" s="32">
        <v>37600</v>
      </c>
      <c r="D73" s="31" t="s">
        <v>31</v>
      </c>
      <c r="E73" s="19" t="s">
        <v>30</v>
      </c>
      <c r="F73" s="78">
        <v>46217</v>
      </c>
      <c r="G73" s="34">
        <v>518625</v>
      </c>
      <c r="H73" s="34">
        <v>520008</v>
      </c>
    </row>
    <row r="74" spans="1:8" x14ac:dyDescent="0.3">
      <c r="A74" s="19" t="s">
        <v>28</v>
      </c>
      <c r="B74" s="32">
        <v>37500</v>
      </c>
      <c r="C74" s="32">
        <v>37600</v>
      </c>
      <c r="D74" s="31" t="s">
        <v>31</v>
      </c>
      <c r="E74" s="19" t="s">
        <v>30</v>
      </c>
      <c r="F74" s="78">
        <v>46217</v>
      </c>
      <c r="G74" s="34">
        <v>222000</v>
      </c>
      <c r="H74" s="34">
        <v>222592</v>
      </c>
    </row>
    <row r="75" spans="1:8" x14ac:dyDescent="0.3">
      <c r="A75" s="19" t="s">
        <v>28</v>
      </c>
      <c r="B75" s="32">
        <v>37500</v>
      </c>
      <c r="C75" s="32">
        <v>37600</v>
      </c>
      <c r="D75" s="31" t="s">
        <v>31</v>
      </c>
      <c r="E75" s="19" t="s">
        <v>30</v>
      </c>
      <c r="F75" s="78">
        <v>46217</v>
      </c>
      <c r="G75" s="34">
        <v>1179375</v>
      </c>
      <c r="H75" s="34">
        <v>1182520</v>
      </c>
    </row>
    <row r="76" spans="1:8" x14ac:dyDescent="0.3">
      <c r="A76" s="19" t="s">
        <v>28</v>
      </c>
      <c r="B76" s="32">
        <v>37500</v>
      </c>
      <c r="C76" s="32">
        <v>37600</v>
      </c>
      <c r="D76" s="31" t="s">
        <v>31</v>
      </c>
      <c r="E76" s="19" t="s">
        <v>30</v>
      </c>
      <c r="F76" s="78">
        <v>46217</v>
      </c>
      <c r="G76" s="34">
        <v>532500</v>
      </c>
      <c r="H76" s="34">
        <v>533920</v>
      </c>
    </row>
    <row r="77" spans="1:8" x14ac:dyDescent="0.3">
      <c r="A77" s="19" t="s">
        <v>28</v>
      </c>
      <c r="B77" s="32">
        <v>37500</v>
      </c>
      <c r="C77" s="32">
        <v>37600</v>
      </c>
      <c r="D77" s="31" t="s">
        <v>32</v>
      </c>
      <c r="E77" s="19" t="s">
        <v>30</v>
      </c>
      <c r="F77" s="78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28</v>
      </c>
      <c r="B78" s="32">
        <v>37500</v>
      </c>
      <c r="C78" s="32">
        <v>37600</v>
      </c>
      <c r="D78" s="31" t="s">
        <v>32</v>
      </c>
      <c r="E78" s="19" t="s">
        <v>30</v>
      </c>
      <c r="F78" s="78">
        <v>46217</v>
      </c>
      <c r="G78" s="34">
        <v>370875</v>
      </c>
      <c r="H78" s="34">
        <v>371864</v>
      </c>
    </row>
    <row r="79" spans="1:8" x14ac:dyDescent="0.3">
      <c r="A79" s="19" t="s">
        <v>28</v>
      </c>
      <c r="B79" s="32">
        <v>37500</v>
      </c>
      <c r="C79" s="32">
        <v>37600</v>
      </c>
      <c r="D79" s="31" t="s">
        <v>32</v>
      </c>
      <c r="E79" s="19" t="s">
        <v>30</v>
      </c>
      <c r="F79" s="78">
        <v>46217</v>
      </c>
      <c r="G79" s="34">
        <v>296062.5</v>
      </c>
      <c r="H79" s="34">
        <v>296852</v>
      </c>
    </row>
    <row r="80" spans="1:8" x14ac:dyDescent="0.3">
      <c r="A80" s="19" t="s">
        <v>28</v>
      </c>
      <c r="B80" s="32">
        <v>37500</v>
      </c>
      <c r="C80" s="32">
        <v>37600</v>
      </c>
      <c r="D80" s="31" t="s">
        <v>32</v>
      </c>
      <c r="E80" s="19" t="s">
        <v>30</v>
      </c>
      <c r="F80" s="78">
        <v>46217</v>
      </c>
      <c r="G80" s="34">
        <v>369562.5</v>
      </c>
      <c r="H80" s="34">
        <v>370548</v>
      </c>
    </row>
    <row r="81" spans="1:8" x14ac:dyDescent="0.3">
      <c r="A81" s="19" t="s">
        <v>28</v>
      </c>
      <c r="B81" s="32">
        <v>37500</v>
      </c>
      <c r="C81" s="32">
        <v>37600</v>
      </c>
      <c r="D81" s="31" t="s">
        <v>32</v>
      </c>
      <c r="E81" s="19" t="s">
        <v>30</v>
      </c>
      <c r="F81" s="78">
        <v>46217</v>
      </c>
      <c r="G81" s="34">
        <v>369000</v>
      </c>
      <c r="H81" s="34">
        <v>369984</v>
      </c>
    </row>
    <row r="82" spans="1:8" x14ac:dyDescent="0.3">
      <c r="A82" s="19" t="s">
        <v>28</v>
      </c>
      <c r="B82" s="32">
        <v>37500</v>
      </c>
      <c r="C82" s="32">
        <v>37600</v>
      </c>
      <c r="D82" s="31" t="s">
        <v>32</v>
      </c>
      <c r="E82" s="19" t="s">
        <v>30</v>
      </c>
      <c r="F82" s="78">
        <v>46217</v>
      </c>
      <c r="G82" s="34">
        <v>72562.5</v>
      </c>
      <c r="H82" s="34">
        <v>72756</v>
      </c>
    </row>
    <row r="83" spans="1:8" x14ac:dyDescent="0.3">
      <c r="A83" s="19" t="s">
        <v>28</v>
      </c>
      <c r="B83" s="32">
        <v>37500</v>
      </c>
      <c r="C83" s="32">
        <v>37600</v>
      </c>
      <c r="D83" s="31" t="s">
        <v>32</v>
      </c>
      <c r="E83" s="19" t="s">
        <v>30</v>
      </c>
      <c r="F83" s="78">
        <v>46218</v>
      </c>
      <c r="G83" s="34">
        <v>119250</v>
      </c>
      <c r="H83" s="34">
        <v>119568</v>
      </c>
    </row>
    <row r="84" spans="1:8" x14ac:dyDescent="0.3">
      <c r="A84" s="19" t="s">
        <v>28</v>
      </c>
      <c r="B84" s="32">
        <v>37500</v>
      </c>
      <c r="C84" s="32">
        <v>37600</v>
      </c>
      <c r="D84" s="31" t="s">
        <v>32</v>
      </c>
      <c r="E84" s="19" t="s">
        <v>30</v>
      </c>
      <c r="F84" s="78">
        <v>46218</v>
      </c>
      <c r="G84" s="34">
        <v>596250</v>
      </c>
      <c r="H84" s="34">
        <v>597840</v>
      </c>
    </row>
    <row r="85" spans="1:8" x14ac:dyDescent="0.3">
      <c r="A85" s="19" t="s">
        <v>28</v>
      </c>
      <c r="B85" s="32">
        <v>37500</v>
      </c>
      <c r="C85" s="32">
        <v>37600</v>
      </c>
      <c r="D85" s="31" t="s">
        <v>32</v>
      </c>
      <c r="E85" s="19" t="s">
        <v>30</v>
      </c>
      <c r="F85" s="78">
        <v>46218</v>
      </c>
      <c r="G85" s="34">
        <v>733125</v>
      </c>
      <c r="H85" s="34">
        <v>735080</v>
      </c>
    </row>
    <row r="86" spans="1:8" x14ac:dyDescent="0.3">
      <c r="A86" s="19" t="s">
        <v>28</v>
      </c>
      <c r="B86" s="32">
        <v>37500</v>
      </c>
      <c r="C86" s="32">
        <v>37600</v>
      </c>
      <c r="D86" s="31" t="s">
        <v>32</v>
      </c>
      <c r="E86" s="19" t="s">
        <v>30</v>
      </c>
      <c r="F86" s="78">
        <v>46218</v>
      </c>
      <c r="G86" s="34">
        <v>528375</v>
      </c>
      <c r="H86" s="34">
        <v>529784</v>
      </c>
    </row>
    <row r="87" spans="1:8" x14ac:dyDescent="0.3">
      <c r="A87" s="19" t="s">
        <v>28</v>
      </c>
      <c r="B87" s="32">
        <v>37500</v>
      </c>
      <c r="C87" s="32">
        <v>37600</v>
      </c>
      <c r="D87" s="31" t="s">
        <v>33</v>
      </c>
      <c r="E87" s="19" t="s">
        <v>30</v>
      </c>
      <c r="F87" s="78">
        <v>46217</v>
      </c>
      <c r="G87" s="34">
        <v>59625</v>
      </c>
      <c r="H87" s="34">
        <v>59784</v>
      </c>
    </row>
    <row r="88" spans="1:8" x14ac:dyDescent="0.3">
      <c r="A88" s="19" t="s">
        <v>28</v>
      </c>
      <c r="B88" s="32">
        <v>37500</v>
      </c>
      <c r="C88" s="32">
        <v>37600</v>
      </c>
      <c r="D88" s="31" t="s">
        <v>33</v>
      </c>
      <c r="E88" s="19" t="s">
        <v>30</v>
      </c>
      <c r="F88" s="78">
        <v>46217</v>
      </c>
      <c r="G88" s="34">
        <v>1096125</v>
      </c>
      <c r="H88" s="34">
        <v>1099048</v>
      </c>
    </row>
    <row r="89" spans="1:8" x14ac:dyDescent="0.3">
      <c r="A89" s="19" t="s">
        <v>28</v>
      </c>
      <c r="B89" s="32">
        <v>37500</v>
      </c>
      <c r="C89" s="32">
        <v>37600</v>
      </c>
      <c r="D89" s="31" t="s">
        <v>33</v>
      </c>
      <c r="E89" s="19" t="s">
        <v>30</v>
      </c>
      <c r="F89" s="78">
        <v>46217</v>
      </c>
      <c r="G89" s="34">
        <v>146250</v>
      </c>
      <c r="H89" s="34">
        <v>146640</v>
      </c>
    </row>
    <row r="90" spans="1:8" x14ac:dyDescent="0.3">
      <c r="A90" s="19" t="s">
        <v>28</v>
      </c>
      <c r="B90" s="32">
        <v>37500</v>
      </c>
      <c r="C90" s="32">
        <v>37600</v>
      </c>
      <c r="D90" s="31" t="s">
        <v>33</v>
      </c>
      <c r="E90" s="19" t="s">
        <v>30</v>
      </c>
      <c r="F90" s="78">
        <v>46217</v>
      </c>
      <c r="G90" s="34">
        <v>808500</v>
      </c>
      <c r="H90" s="34">
        <v>810656</v>
      </c>
    </row>
    <row r="91" spans="1:8" x14ac:dyDescent="0.3">
      <c r="A91" s="19" t="s">
        <v>28</v>
      </c>
      <c r="B91" s="32">
        <v>37500</v>
      </c>
      <c r="C91" s="32">
        <v>37600</v>
      </c>
      <c r="D91" s="31" t="s">
        <v>33</v>
      </c>
      <c r="E91" s="19" t="s">
        <v>30</v>
      </c>
      <c r="F91" s="78">
        <v>46217</v>
      </c>
      <c r="G91" s="34">
        <v>119625</v>
      </c>
      <c r="H91" s="34">
        <v>119944</v>
      </c>
    </row>
    <row r="92" spans="1:8" x14ac:dyDescent="0.3">
      <c r="A92" s="19" t="s">
        <v>28</v>
      </c>
      <c r="B92" s="32">
        <v>37500</v>
      </c>
      <c r="C92" s="32">
        <v>37600</v>
      </c>
      <c r="D92" s="31" t="s">
        <v>33</v>
      </c>
      <c r="E92" s="19" t="s">
        <v>30</v>
      </c>
      <c r="F92" s="78">
        <v>46217</v>
      </c>
      <c r="G92" s="34">
        <v>1100625</v>
      </c>
      <c r="H92" s="34">
        <v>1103560</v>
      </c>
    </row>
    <row r="93" spans="1:8" x14ac:dyDescent="0.3">
      <c r="A93" s="19" t="s">
        <v>28</v>
      </c>
      <c r="B93" s="32">
        <v>37500</v>
      </c>
      <c r="C93" s="32">
        <v>37600</v>
      </c>
      <c r="D93" s="31" t="s">
        <v>33</v>
      </c>
      <c r="E93" s="19" t="s">
        <v>30</v>
      </c>
      <c r="F93" s="78">
        <v>46217</v>
      </c>
      <c r="G93" s="34">
        <v>806250</v>
      </c>
      <c r="H93" s="34">
        <v>808400</v>
      </c>
    </row>
    <row r="94" spans="1:8" x14ac:dyDescent="0.3">
      <c r="A94" s="19" t="s">
        <v>28</v>
      </c>
      <c r="B94" s="32">
        <v>37500</v>
      </c>
      <c r="C94" s="32">
        <v>37600</v>
      </c>
      <c r="D94" s="31" t="s">
        <v>33</v>
      </c>
      <c r="E94" s="19" t="s">
        <v>30</v>
      </c>
      <c r="F94" s="78">
        <v>46218</v>
      </c>
      <c r="G94" s="34">
        <v>119625</v>
      </c>
      <c r="H94" s="34">
        <v>119944</v>
      </c>
    </row>
    <row r="95" spans="1:8" x14ac:dyDescent="0.3">
      <c r="A95" s="19" t="s">
        <v>28</v>
      </c>
      <c r="B95" s="32">
        <v>37500</v>
      </c>
      <c r="C95" s="32">
        <v>37600</v>
      </c>
      <c r="D95" s="31" t="s">
        <v>33</v>
      </c>
      <c r="E95" s="19" t="s">
        <v>30</v>
      </c>
      <c r="F95" s="78">
        <v>46218</v>
      </c>
      <c r="G95" s="34">
        <v>1025250</v>
      </c>
      <c r="H95" s="34">
        <v>1027984</v>
      </c>
    </row>
    <row r="96" spans="1:8" x14ac:dyDescent="0.3">
      <c r="A96" s="19" t="s">
        <v>28</v>
      </c>
      <c r="B96" s="32">
        <v>37500</v>
      </c>
      <c r="C96" s="32">
        <v>37600</v>
      </c>
      <c r="D96" s="31" t="s">
        <v>33</v>
      </c>
      <c r="E96" s="19" t="s">
        <v>30</v>
      </c>
      <c r="F96" s="78">
        <v>46218</v>
      </c>
      <c r="G96" s="34">
        <v>2051625</v>
      </c>
      <c r="H96" s="34">
        <v>2057096</v>
      </c>
    </row>
    <row r="97" spans="1:8" x14ac:dyDescent="0.3">
      <c r="A97" s="19" t="s">
        <v>28</v>
      </c>
      <c r="B97" s="32">
        <v>37500</v>
      </c>
      <c r="C97" s="32">
        <v>37600</v>
      </c>
      <c r="D97" s="31" t="s">
        <v>33</v>
      </c>
      <c r="E97" s="19" t="s">
        <v>30</v>
      </c>
      <c r="F97" s="78">
        <v>46217</v>
      </c>
      <c r="G97" s="34">
        <v>62250</v>
      </c>
      <c r="H97" s="34">
        <v>62416</v>
      </c>
    </row>
    <row r="98" spans="1:8" x14ac:dyDescent="0.3">
      <c r="A98" s="19" t="s">
        <v>28</v>
      </c>
      <c r="B98" s="32">
        <v>37500</v>
      </c>
      <c r="C98" s="32">
        <v>37600</v>
      </c>
      <c r="D98" s="31" t="s">
        <v>33</v>
      </c>
      <c r="E98" s="19" t="s">
        <v>30</v>
      </c>
      <c r="F98" s="78">
        <v>46217</v>
      </c>
      <c r="G98" s="34">
        <v>458625</v>
      </c>
      <c r="H98" s="34">
        <v>459848</v>
      </c>
    </row>
    <row r="99" spans="1:8" x14ac:dyDescent="0.3">
      <c r="A99" s="19" t="s">
        <v>28</v>
      </c>
      <c r="B99" s="32">
        <v>37500</v>
      </c>
      <c r="C99" s="32">
        <v>37600</v>
      </c>
      <c r="D99" s="31" t="s">
        <v>33</v>
      </c>
      <c r="E99" s="19" t="s">
        <v>30</v>
      </c>
      <c r="F99" s="78">
        <v>46217</v>
      </c>
      <c r="G99" s="34">
        <v>436875</v>
      </c>
      <c r="H99" s="34">
        <v>438040</v>
      </c>
    </row>
    <row r="100" spans="1:8" x14ac:dyDescent="0.3">
      <c r="A100" s="19" t="s">
        <v>28</v>
      </c>
      <c r="B100" s="32">
        <v>37500</v>
      </c>
      <c r="C100" s="32">
        <v>37600</v>
      </c>
      <c r="D100" s="31" t="s">
        <v>33</v>
      </c>
      <c r="E100" s="19" t="s">
        <v>30</v>
      </c>
      <c r="F100" s="78">
        <v>46217</v>
      </c>
      <c r="G100" s="34">
        <v>1603125</v>
      </c>
      <c r="H100" s="34">
        <v>1607400</v>
      </c>
    </row>
    <row r="101" spans="1:8" x14ac:dyDescent="0.3">
      <c r="A101" s="19" t="s">
        <v>28</v>
      </c>
      <c r="B101" s="32">
        <v>37500</v>
      </c>
      <c r="C101" s="32">
        <v>37600</v>
      </c>
      <c r="D101" s="31" t="s">
        <v>33</v>
      </c>
      <c r="E101" s="19" t="s">
        <v>30</v>
      </c>
      <c r="F101" s="78">
        <v>46217</v>
      </c>
      <c r="G101" s="34">
        <v>1100625</v>
      </c>
      <c r="H101" s="34">
        <v>1103560</v>
      </c>
    </row>
    <row r="102" spans="1:8" x14ac:dyDescent="0.3">
      <c r="A102" s="19" t="s">
        <v>16</v>
      </c>
      <c r="B102" s="32">
        <v>38800</v>
      </c>
      <c r="C102" s="32">
        <v>40700</v>
      </c>
      <c r="D102" s="31" t="s">
        <v>34</v>
      </c>
      <c r="E102" s="19" t="s">
        <v>35</v>
      </c>
      <c r="F102" s="78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16</v>
      </c>
      <c r="B103" s="32">
        <v>38800</v>
      </c>
      <c r="C103" s="32">
        <v>40700</v>
      </c>
      <c r="D103" s="31" t="s">
        <v>34</v>
      </c>
      <c r="E103" s="19" t="s">
        <v>35</v>
      </c>
      <c r="F103" s="78">
        <v>46224</v>
      </c>
      <c r="G103" s="34">
        <v>2750532</v>
      </c>
      <c r="H103" s="34">
        <v>2885223</v>
      </c>
    </row>
    <row r="104" spans="1:8" x14ac:dyDescent="0.3">
      <c r="A104" s="19" t="s">
        <v>16</v>
      </c>
      <c r="B104" s="32">
        <v>38800</v>
      </c>
      <c r="C104" s="32">
        <v>40700</v>
      </c>
      <c r="D104" s="31" t="s">
        <v>34</v>
      </c>
      <c r="E104" s="19" t="s">
        <v>35</v>
      </c>
      <c r="F104" s="78">
        <v>46224</v>
      </c>
      <c r="G104" s="34">
        <v>783372</v>
      </c>
      <c r="H104" s="34">
        <v>821733</v>
      </c>
    </row>
    <row r="105" spans="1:8" x14ac:dyDescent="0.3">
      <c r="A105" s="19" t="s">
        <v>16</v>
      </c>
      <c r="B105" s="32">
        <v>38800</v>
      </c>
      <c r="C105" s="32">
        <v>40700</v>
      </c>
      <c r="D105" s="31" t="s">
        <v>34</v>
      </c>
      <c r="E105" s="19" t="s">
        <v>35</v>
      </c>
      <c r="F105" s="78">
        <v>46224</v>
      </c>
      <c r="G105" s="34">
        <v>151708</v>
      </c>
      <c r="H105" s="34">
        <v>159137</v>
      </c>
    </row>
    <row r="106" spans="1:8" x14ac:dyDescent="0.3">
      <c r="A106" s="19" t="s">
        <v>16</v>
      </c>
      <c r="B106" s="32">
        <v>38800</v>
      </c>
      <c r="C106" s="32">
        <v>40700</v>
      </c>
      <c r="D106" s="31" t="s">
        <v>34</v>
      </c>
      <c r="E106" s="19" t="s">
        <v>35</v>
      </c>
      <c r="F106" s="78">
        <v>46224</v>
      </c>
      <c r="G106" s="34">
        <v>226980</v>
      </c>
      <c r="H106" s="34">
        <v>238095</v>
      </c>
    </row>
    <row r="107" spans="1:8" x14ac:dyDescent="0.3">
      <c r="A107" s="19" t="s">
        <v>36</v>
      </c>
      <c r="D107" s="31" t="s">
        <v>37</v>
      </c>
      <c r="F107" s="78"/>
      <c r="G107" s="34">
        <v>0</v>
      </c>
      <c r="H107" s="34">
        <v>0</v>
      </c>
    </row>
    <row r="108" spans="1:8" x14ac:dyDescent="0.3">
      <c r="A108" s="19" t="s">
        <v>36</v>
      </c>
      <c r="D108" s="31" t="s">
        <v>37</v>
      </c>
      <c r="F108" s="78"/>
      <c r="G108" s="34">
        <v>0</v>
      </c>
      <c r="H108" s="34">
        <v>0</v>
      </c>
    </row>
    <row r="109" spans="1:8" x14ac:dyDescent="0.3">
      <c r="A109" s="19" t="s">
        <v>36</v>
      </c>
      <c r="D109" s="31" t="s">
        <v>37</v>
      </c>
      <c r="F109" s="78"/>
      <c r="G109" s="34">
        <v>0</v>
      </c>
      <c r="H109" s="34">
        <v>0</v>
      </c>
    </row>
    <row r="110" spans="1:8" x14ac:dyDescent="0.3">
      <c r="A110" s="19" t="s">
        <v>36</v>
      </c>
      <c r="D110" s="31" t="s">
        <v>37</v>
      </c>
      <c r="F110" s="78"/>
      <c r="G110" s="34">
        <v>0</v>
      </c>
      <c r="H110" s="34">
        <v>0</v>
      </c>
    </row>
    <row r="111" spans="1:8" x14ac:dyDescent="0.3">
      <c r="A111" s="19" t="s">
        <v>36</v>
      </c>
      <c r="D111" s="31" t="s">
        <v>37</v>
      </c>
      <c r="F111" s="78"/>
      <c r="G111" s="34">
        <v>0</v>
      </c>
      <c r="H111" s="34">
        <v>0</v>
      </c>
    </row>
    <row r="112" spans="1:8" x14ac:dyDescent="0.3">
      <c r="A112" s="19" t="s">
        <v>36</v>
      </c>
      <c r="D112" s="31" t="s">
        <v>37</v>
      </c>
      <c r="F112" s="78"/>
      <c r="G112" s="34">
        <v>0</v>
      </c>
      <c r="H112" s="34">
        <v>0</v>
      </c>
    </row>
    <row r="113" spans="1:8" x14ac:dyDescent="0.3">
      <c r="A113" s="19" t="s">
        <v>36</v>
      </c>
      <c r="D113" s="31" t="s">
        <v>37</v>
      </c>
      <c r="F113" s="78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38</v>
      </c>
      <c r="E114" s="19" t="s">
        <v>39</v>
      </c>
      <c r="F114" s="78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38</v>
      </c>
      <c r="E115" s="19" t="s">
        <v>39</v>
      </c>
      <c r="F115" s="78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38</v>
      </c>
      <c r="E116" s="19" t="s">
        <v>39</v>
      </c>
      <c r="F116" s="78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38</v>
      </c>
      <c r="E117" s="19" t="s">
        <v>39</v>
      </c>
      <c r="F117" s="78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38</v>
      </c>
      <c r="E118" s="19" t="s">
        <v>39</v>
      </c>
      <c r="F118" s="78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38</v>
      </c>
      <c r="E119" s="19" t="s">
        <v>39</v>
      </c>
      <c r="F119" s="78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38</v>
      </c>
      <c r="E120" s="19" t="s">
        <v>39</v>
      </c>
      <c r="F120" s="78">
        <v>46232</v>
      </c>
      <c r="G120" s="34">
        <v>1566544</v>
      </c>
      <c r="H120" s="34">
        <v>1588412</v>
      </c>
    </row>
    <row r="121" spans="1:8" x14ac:dyDescent="0.3">
      <c r="A121" s="19" t="s">
        <v>40</v>
      </c>
      <c r="B121" s="32">
        <v>37800</v>
      </c>
      <c r="C121" s="32">
        <v>39250</v>
      </c>
      <c r="D121" s="31" t="s">
        <v>41</v>
      </c>
      <c r="E121" s="19" t="s">
        <v>42</v>
      </c>
      <c r="F121" s="78">
        <v>46224</v>
      </c>
      <c r="G121" s="34">
        <v>588924</v>
      </c>
      <c r="H121" s="34">
        <v>611515</v>
      </c>
    </row>
    <row r="122" spans="1:8" x14ac:dyDescent="0.3">
      <c r="A122" s="19" t="s">
        <v>40</v>
      </c>
      <c r="B122" s="32">
        <v>37800</v>
      </c>
      <c r="C122" s="32">
        <v>39250</v>
      </c>
      <c r="D122" s="31" t="s">
        <v>41</v>
      </c>
      <c r="E122" s="19" t="s">
        <v>42</v>
      </c>
      <c r="F122" s="78">
        <v>46224</v>
      </c>
      <c r="G122" s="34">
        <v>148554</v>
      </c>
      <c r="H122" s="34">
        <v>154252.5</v>
      </c>
    </row>
    <row r="123" spans="1:8" x14ac:dyDescent="0.3">
      <c r="A123" s="19" t="s">
        <v>40</v>
      </c>
      <c r="B123" s="32">
        <v>37800</v>
      </c>
      <c r="C123" s="32">
        <v>39250</v>
      </c>
      <c r="D123" s="31" t="s">
        <v>41</v>
      </c>
      <c r="E123" s="19" t="s">
        <v>42</v>
      </c>
      <c r="F123" s="78">
        <v>46224</v>
      </c>
      <c r="G123" s="34">
        <v>592704</v>
      </c>
      <c r="H123" s="34">
        <v>615440</v>
      </c>
    </row>
    <row r="124" spans="1:8" x14ac:dyDescent="0.3">
      <c r="A124" s="19" t="s">
        <v>40</v>
      </c>
      <c r="B124" s="32">
        <v>37800</v>
      </c>
      <c r="C124" s="32">
        <v>39250</v>
      </c>
      <c r="D124" s="31" t="s">
        <v>41</v>
      </c>
      <c r="E124" s="19" t="s">
        <v>42</v>
      </c>
      <c r="F124" s="78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30</v>
      </c>
      <c r="F125" s="78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43</v>
      </c>
      <c r="F126" s="78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43</v>
      </c>
      <c r="F127" s="78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43</v>
      </c>
      <c r="F128" s="78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27</v>
      </c>
      <c r="F129" s="78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27</v>
      </c>
      <c r="F130" s="78">
        <v>46234</v>
      </c>
      <c r="G130" s="34">
        <v>1862000</v>
      </c>
      <c r="H130" s="34">
        <v>1879150</v>
      </c>
    </row>
    <row r="131" spans="1:8" x14ac:dyDescent="0.3">
      <c r="A131" s="19" t="s">
        <v>16</v>
      </c>
      <c r="C131" s="32">
        <v>0</v>
      </c>
      <c r="D131" s="31">
        <v>44</v>
      </c>
      <c r="E131" s="19" t="s">
        <v>44</v>
      </c>
      <c r="F131" s="78"/>
      <c r="G131" s="34">
        <v>0</v>
      </c>
      <c r="H131" s="34">
        <v>0</v>
      </c>
    </row>
    <row r="132" spans="1:8" x14ac:dyDescent="0.3">
      <c r="A132" s="19" t="s">
        <v>16</v>
      </c>
      <c r="C132" s="32">
        <v>0</v>
      </c>
      <c r="D132" s="31">
        <v>44</v>
      </c>
      <c r="E132" s="19" t="s">
        <v>44</v>
      </c>
      <c r="F132" s="78"/>
      <c r="G132" s="34">
        <v>0</v>
      </c>
      <c r="H132" s="34">
        <v>0</v>
      </c>
    </row>
    <row r="133" spans="1:8" x14ac:dyDescent="0.3">
      <c r="A133" s="19" t="s">
        <v>16</v>
      </c>
      <c r="C133" s="32">
        <v>0</v>
      </c>
      <c r="D133" s="31">
        <v>44</v>
      </c>
      <c r="E133" s="19" t="s">
        <v>44</v>
      </c>
      <c r="F133" s="78"/>
      <c r="G133" s="34">
        <v>0</v>
      </c>
      <c r="H133" s="34">
        <v>0</v>
      </c>
    </row>
    <row r="134" spans="1:8" x14ac:dyDescent="0.3">
      <c r="A134" s="19" t="s">
        <v>16</v>
      </c>
      <c r="C134" s="32">
        <v>0</v>
      </c>
      <c r="D134" s="31">
        <v>44</v>
      </c>
      <c r="E134" s="19" t="s">
        <v>44</v>
      </c>
      <c r="F134" s="78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39</v>
      </c>
      <c r="F135" s="78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39</v>
      </c>
      <c r="F136" s="78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39</v>
      </c>
      <c r="F137" s="78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39</v>
      </c>
      <c r="F138" s="78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39</v>
      </c>
      <c r="F139" s="78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39</v>
      </c>
      <c r="F140" s="78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39</v>
      </c>
      <c r="F141" s="78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45</v>
      </c>
      <c r="F142" s="78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45</v>
      </c>
      <c r="F143" s="78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45</v>
      </c>
      <c r="F144" s="78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45</v>
      </c>
      <c r="F145" s="78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30</v>
      </c>
      <c r="F146" s="78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30</v>
      </c>
      <c r="F147" s="78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30</v>
      </c>
      <c r="F148" s="78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30</v>
      </c>
      <c r="F149" s="78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45</v>
      </c>
      <c r="F150" s="78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45</v>
      </c>
      <c r="F151" s="78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45</v>
      </c>
      <c r="F152" s="78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44</v>
      </c>
      <c r="F153" s="78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44</v>
      </c>
      <c r="F154" s="78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44</v>
      </c>
      <c r="F155" s="78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44</v>
      </c>
      <c r="F156" s="78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44</v>
      </c>
      <c r="F157" s="78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44</v>
      </c>
      <c r="F158" s="78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39</v>
      </c>
      <c r="F159" s="78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39</v>
      </c>
      <c r="F160" s="78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39</v>
      </c>
      <c r="F161" s="78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39</v>
      </c>
      <c r="F162" s="78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39</v>
      </c>
      <c r="F163" s="78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39</v>
      </c>
      <c r="F164" s="78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30</v>
      </c>
      <c r="F165" s="78">
        <v>46250</v>
      </c>
      <c r="G165" s="34">
        <v>1857440</v>
      </c>
      <c r="H165" s="34">
        <v>1859884</v>
      </c>
    </row>
    <row r="166" spans="1:8" x14ac:dyDescent="0.3">
      <c r="A166" s="19" t="s">
        <v>46</v>
      </c>
      <c r="B166" s="32">
        <v>39500</v>
      </c>
      <c r="C166" s="32">
        <v>40500</v>
      </c>
      <c r="D166" s="31">
        <v>39</v>
      </c>
      <c r="E166" s="19" t="s">
        <v>44</v>
      </c>
      <c r="F166" s="78">
        <v>46250</v>
      </c>
      <c r="G166" s="34">
        <v>413565</v>
      </c>
      <c r="H166" s="34">
        <v>424035</v>
      </c>
    </row>
    <row r="167" spans="1:8" x14ac:dyDescent="0.3">
      <c r="A167" s="19" t="s">
        <v>46</v>
      </c>
      <c r="B167" s="32">
        <v>39500</v>
      </c>
      <c r="C167" s="32">
        <v>40500</v>
      </c>
      <c r="D167" s="31">
        <v>39</v>
      </c>
      <c r="E167" s="19" t="s">
        <v>44</v>
      </c>
      <c r="F167" s="78">
        <v>46250</v>
      </c>
      <c r="G167" s="34">
        <v>154445</v>
      </c>
      <c r="H167" s="34">
        <v>158355</v>
      </c>
    </row>
    <row r="168" spans="1:8" x14ac:dyDescent="0.3">
      <c r="A168" s="19" t="s">
        <v>46</v>
      </c>
      <c r="B168" s="32">
        <v>39500</v>
      </c>
      <c r="C168" s="32">
        <v>40500</v>
      </c>
      <c r="D168" s="31">
        <v>39</v>
      </c>
      <c r="E168" s="19" t="s">
        <v>44</v>
      </c>
      <c r="F168" s="78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47</v>
      </c>
      <c r="F169" s="78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47</v>
      </c>
      <c r="F170" s="78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47</v>
      </c>
      <c r="F171" s="78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44</v>
      </c>
      <c r="F172" s="78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44</v>
      </c>
      <c r="F173" s="78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44</v>
      </c>
      <c r="F174" s="78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30</v>
      </c>
      <c r="F175" s="78">
        <v>46252</v>
      </c>
      <c r="G175" s="34">
        <v>2768680</v>
      </c>
      <c r="H175" s="34">
        <v>2772323</v>
      </c>
    </row>
    <row r="176" spans="1:8" x14ac:dyDescent="0.3">
      <c r="A176" s="19" t="s">
        <v>14</v>
      </c>
      <c r="B176" s="32">
        <v>39750</v>
      </c>
      <c r="C176" s="32">
        <v>40050</v>
      </c>
      <c r="D176" s="31">
        <v>43</v>
      </c>
      <c r="E176" s="19" t="s">
        <v>44</v>
      </c>
      <c r="F176" s="78">
        <v>46256</v>
      </c>
      <c r="G176" s="34">
        <v>469050</v>
      </c>
      <c r="H176" s="34">
        <v>472590</v>
      </c>
    </row>
    <row r="177" spans="1:8" x14ac:dyDescent="0.3">
      <c r="A177" s="19" t="s">
        <v>14</v>
      </c>
      <c r="B177" s="32">
        <v>39750</v>
      </c>
      <c r="C177" s="32">
        <v>40050</v>
      </c>
      <c r="D177" s="31">
        <v>43</v>
      </c>
      <c r="E177" s="19" t="s">
        <v>44</v>
      </c>
      <c r="F177" s="78">
        <v>46256</v>
      </c>
      <c r="G177" s="34">
        <v>2672790</v>
      </c>
      <c r="H177" s="34">
        <v>2692962</v>
      </c>
    </row>
    <row r="178" spans="1:8" x14ac:dyDescent="0.3">
      <c r="A178" s="19" t="s">
        <v>14</v>
      </c>
      <c r="B178" s="32">
        <v>39750</v>
      </c>
      <c r="C178" s="32">
        <v>40050</v>
      </c>
      <c r="D178" s="31">
        <v>43</v>
      </c>
      <c r="E178" s="19" t="s">
        <v>44</v>
      </c>
      <c r="F178" s="78">
        <v>46256</v>
      </c>
      <c r="G178" s="34">
        <v>2119350.75</v>
      </c>
      <c r="H178" s="34">
        <v>2135345.85</v>
      </c>
    </row>
    <row r="179" spans="1:8" x14ac:dyDescent="0.3">
      <c r="A179" s="19" t="s">
        <v>14</v>
      </c>
      <c r="B179" s="32">
        <v>39750</v>
      </c>
      <c r="C179" s="32">
        <v>40050</v>
      </c>
      <c r="D179" s="31">
        <v>43</v>
      </c>
      <c r="E179" s="19" t="s">
        <v>44</v>
      </c>
      <c r="F179" s="78">
        <v>46256</v>
      </c>
      <c r="G179" s="34">
        <v>1985115</v>
      </c>
      <c r="H179" s="34">
        <v>2000097</v>
      </c>
    </row>
    <row r="180" spans="1:8" x14ac:dyDescent="0.3">
      <c r="A180" s="19" t="s">
        <v>14</v>
      </c>
      <c r="B180" s="32">
        <v>39750</v>
      </c>
      <c r="C180" s="32">
        <v>40050</v>
      </c>
      <c r="D180" s="31">
        <v>43</v>
      </c>
      <c r="E180" s="19" t="s">
        <v>44</v>
      </c>
      <c r="F180" s="78">
        <v>46256</v>
      </c>
      <c r="G180" s="34">
        <v>4141274.2499999995</v>
      </c>
      <c r="H180" s="34">
        <v>4172529.15</v>
      </c>
    </row>
    <row r="181" spans="1:8" x14ac:dyDescent="0.3">
      <c r="A181" s="19" t="s">
        <v>14</v>
      </c>
      <c r="B181" s="32">
        <v>39750</v>
      </c>
      <c r="C181" s="32">
        <v>40050</v>
      </c>
      <c r="D181" s="31">
        <v>43</v>
      </c>
      <c r="E181" s="19" t="s">
        <v>44</v>
      </c>
      <c r="F181" s="78">
        <v>46256</v>
      </c>
      <c r="G181" s="34">
        <v>6224850</v>
      </c>
      <c r="H181" s="34">
        <v>6271830</v>
      </c>
    </row>
    <row r="182" spans="1:8" x14ac:dyDescent="0.3">
      <c r="A182" s="19" t="s">
        <v>16</v>
      </c>
      <c r="B182" s="32">
        <v>40000</v>
      </c>
      <c r="C182" s="32">
        <v>41000</v>
      </c>
      <c r="D182" s="31">
        <v>44</v>
      </c>
      <c r="E182" s="19" t="s">
        <v>44</v>
      </c>
      <c r="F182" s="78">
        <v>46268</v>
      </c>
      <c r="G182" s="34">
        <v>449600</v>
      </c>
      <c r="H182" s="34">
        <v>460840</v>
      </c>
    </row>
    <row r="183" spans="1:8" x14ac:dyDescent="0.3">
      <c r="A183" s="19" t="s">
        <v>16</v>
      </c>
      <c r="B183" s="32">
        <v>40700</v>
      </c>
      <c r="C183" s="32">
        <v>41000</v>
      </c>
      <c r="D183" s="31">
        <v>44</v>
      </c>
      <c r="E183" s="19" t="s">
        <v>44</v>
      </c>
      <c r="F183" s="78">
        <v>46268</v>
      </c>
      <c r="G183" s="34">
        <v>3983716</v>
      </c>
      <c r="H183" s="34">
        <v>4013080</v>
      </c>
    </row>
    <row r="184" spans="1:8" x14ac:dyDescent="0.3">
      <c r="A184" s="19" t="s">
        <v>16</v>
      </c>
      <c r="B184" s="32">
        <v>40000</v>
      </c>
      <c r="C184" s="32">
        <v>41000</v>
      </c>
      <c r="D184" s="31">
        <v>44</v>
      </c>
      <c r="E184" s="19" t="s">
        <v>44</v>
      </c>
      <c r="F184" s="78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30</v>
      </c>
      <c r="F185" s="78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30</v>
      </c>
      <c r="F186" s="78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30</v>
      </c>
      <c r="F187" s="78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30</v>
      </c>
      <c r="F188" s="78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39</v>
      </c>
      <c r="F189" s="78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39</v>
      </c>
      <c r="F190" s="78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39</v>
      </c>
      <c r="F191" s="78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39</v>
      </c>
      <c r="F192" s="78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39</v>
      </c>
      <c r="F193" s="78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39</v>
      </c>
      <c r="F194" s="78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105</v>
      </c>
      <c r="F195" s="78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105</v>
      </c>
      <c r="F196" s="78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105</v>
      </c>
      <c r="F197" s="78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105</v>
      </c>
      <c r="F198" s="78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30</v>
      </c>
      <c r="F199" s="78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30</v>
      </c>
      <c r="F200" s="78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30</v>
      </c>
      <c r="F201" s="78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30</v>
      </c>
      <c r="F202" s="78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30</v>
      </c>
      <c r="F203" s="78">
        <v>46284</v>
      </c>
      <c r="G203" s="34">
        <v>150495</v>
      </c>
      <c r="H203" s="34">
        <v>150692.5</v>
      </c>
    </row>
    <row r="204" spans="1:8" x14ac:dyDescent="0.3">
      <c r="A204" s="19" t="s">
        <v>46</v>
      </c>
      <c r="B204" s="32">
        <v>39500</v>
      </c>
      <c r="C204" s="32">
        <v>41500</v>
      </c>
      <c r="D204" s="31">
        <v>49</v>
      </c>
      <c r="E204" s="19" t="s">
        <v>106</v>
      </c>
      <c r="F204" s="78">
        <v>46286</v>
      </c>
      <c r="G204" s="34">
        <v>125610</v>
      </c>
      <c r="H204" s="34">
        <v>131970</v>
      </c>
    </row>
    <row r="205" spans="1:8" x14ac:dyDescent="0.3">
      <c r="A205" s="19" t="s">
        <v>46</v>
      </c>
      <c r="B205" s="32">
        <v>39500</v>
      </c>
      <c r="C205" s="32">
        <v>41500</v>
      </c>
      <c r="D205" s="31">
        <v>49</v>
      </c>
      <c r="E205" s="19" t="s">
        <v>106</v>
      </c>
      <c r="F205" s="78">
        <v>46286</v>
      </c>
      <c r="G205" s="34">
        <v>926670</v>
      </c>
      <c r="H205" s="34">
        <v>973590</v>
      </c>
    </row>
    <row r="206" spans="1:8" x14ac:dyDescent="0.3">
      <c r="A206" s="19" t="s">
        <v>46</v>
      </c>
      <c r="B206" s="32">
        <v>39500</v>
      </c>
      <c r="C206" s="32">
        <v>41500</v>
      </c>
      <c r="D206" s="31">
        <v>49</v>
      </c>
      <c r="E206" s="19" t="s">
        <v>106</v>
      </c>
      <c r="F206" s="78">
        <v>46286</v>
      </c>
      <c r="G206" s="34">
        <v>154445</v>
      </c>
      <c r="H206" s="34">
        <v>162265</v>
      </c>
    </row>
    <row r="207" spans="1:8" x14ac:dyDescent="0.3">
      <c r="A207" s="19" t="s">
        <v>46</v>
      </c>
      <c r="B207" s="32">
        <v>39500</v>
      </c>
      <c r="C207" s="32">
        <v>41500</v>
      </c>
      <c r="D207" s="31">
        <v>49</v>
      </c>
      <c r="E207" s="19" t="s">
        <v>106</v>
      </c>
      <c r="F207" s="78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30</v>
      </c>
      <c r="F208" s="78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30</v>
      </c>
      <c r="F209" s="78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30</v>
      </c>
      <c r="F210" s="78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30</v>
      </c>
      <c r="F211" s="78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30</v>
      </c>
      <c r="F212" s="78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112</v>
      </c>
      <c r="F213" s="78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112</v>
      </c>
      <c r="F214" s="78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112</v>
      </c>
      <c r="F215" s="78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112</v>
      </c>
      <c r="F216" s="78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112</v>
      </c>
      <c r="F217" s="78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112</v>
      </c>
      <c r="F218" s="78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112</v>
      </c>
      <c r="F219" s="78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112</v>
      </c>
      <c r="F220" s="78">
        <v>46292</v>
      </c>
      <c r="G220" s="34">
        <v>1023445</v>
      </c>
      <c r="H220" s="34">
        <v>1070083</v>
      </c>
    </row>
    <row r="221" spans="1:8" x14ac:dyDescent="0.3">
      <c r="A221" s="19" t="s">
        <v>109</v>
      </c>
      <c r="B221" s="32">
        <v>38000</v>
      </c>
      <c r="C221" s="32">
        <v>40000</v>
      </c>
      <c r="D221" s="31">
        <v>52</v>
      </c>
      <c r="E221" s="19" t="s">
        <v>110</v>
      </c>
      <c r="F221" s="78">
        <v>46297</v>
      </c>
      <c r="G221" s="34">
        <v>639920</v>
      </c>
      <c r="H221" s="34">
        <v>673600</v>
      </c>
    </row>
    <row r="222" spans="1:8" x14ac:dyDescent="0.3">
      <c r="A222" s="19" t="s">
        <v>109</v>
      </c>
      <c r="B222" s="32">
        <v>38000</v>
      </c>
      <c r="C222" s="32">
        <v>40000</v>
      </c>
      <c r="D222" s="31">
        <v>52</v>
      </c>
      <c r="E222" s="19" t="s">
        <v>110</v>
      </c>
      <c r="F222" s="78">
        <v>46297</v>
      </c>
      <c r="G222" s="34">
        <v>4018120.0000000005</v>
      </c>
      <c r="H222" s="34">
        <v>4229600</v>
      </c>
    </row>
    <row r="223" spans="1:8" x14ac:dyDescent="0.3">
      <c r="A223" s="19" t="s">
        <v>109</v>
      </c>
      <c r="B223" s="32">
        <v>38000</v>
      </c>
      <c r="C223" s="32">
        <v>40000</v>
      </c>
      <c r="D223" s="31">
        <v>52</v>
      </c>
      <c r="E223" s="19" t="s">
        <v>110</v>
      </c>
      <c r="F223" s="78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109</v>
      </c>
      <c r="B224" s="32">
        <v>38000</v>
      </c>
      <c r="C224" s="32">
        <v>40000</v>
      </c>
      <c r="D224" s="31">
        <v>52</v>
      </c>
      <c r="E224" s="19" t="s">
        <v>110</v>
      </c>
      <c r="F224" s="78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111</v>
      </c>
      <c r="F225" s="78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111</v>
      </c>
      <c r="F226" s="78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111</v>
      </c>
      <c r="F227" s="78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111</v>
      </c>
      <c r="F228" s="78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111</v>
      </c>
      <c r="F229" s="78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111</v>
      </c>
      <c r="F230" s="78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111</v>
      </c>
      <c r="F231" s="78">
        <v>46303</v>
      </c>
      <c r="G231" s="34">
        <v>1166040</v>
      </c>
      <c r="H231" s="34">
        <v>1170468</v>
      </c>
    </row>
    <row r="232" spans="1:8" x14ac:dyDescent="0.3">
      <c r="A232" s="19" t="s">
        <v>109</v>
      </c>
      <c r="B232" s="32">
        <v>39900</v>
      </c>
      <c r="C232" s="32">
        <v>41000</v>
      </c>
      <c r="D232" s="31">
        <v>55</v>
      </c>
      <c r="E232" s="19" t="s">
        <v>110</v>
      </c>
      <c r="F232" s="78">
        <v>46301</v>
      </c>
      <c r="G232" s="34">
        <v>183540</v>
      </c>
      <c r="H232" s="34">
        <v>188599.99999999997</v>
      </c>
    </row>
    <row r="233" spans="1:8" x14ac:dyDescent="0.3">
      <c r="A233" s="19" t="s">
        <v>109</v>
      </c>
      <c r="B233" s="32">
        <v>39900</v>
      </c>
      <c r="C233" s="32">
        <v>41000</v>
      </c>
      <c r="D233" s="31">
        <v>55</v>
      </c>
      <c r="E233" s="19" t="s">
        <v>110</v>
      </c>
      <c r="F233" s="78">
        <v>46301</v>
      </c>
      <c r="G233" s="34">
        <v>1178646</v>
      </c>
      <c r="H233" s="34">
        <v>1211140</v>
      </c>
    </row>
    <row r="234" spans="1:8" x14ac:dyDescent="0.3">
      <c r="A234" s="19" t="s">
        <v>109</v>
      </c>
      <c r="B234" s="32">
        <v>39900</v>
      </c>
      <c r="C234" s="32">
        <v>41000</v>
      </c>
      <c r="D234" s="31">
        <v>55</v>
      </c>
      <c r="E234" s="19" t="s">
        <v>110</v>
      </c>
      <c r="F234" s="78">
        <v>46301</v>
      </c>
      <c r="G234" s="34">
        <v>156009</v>
      </c>
      <c r="H234" s="34">
        <v>160310</v>
      </c>
    </row>
    <row r="235" spans="1:8" x14ac:dyDescent="0.3">
      <c r="A235" s="19" t="s">
        <v>109</v>
      </c>
      <c r="B235" s="32">
        <v>39900</v>
      </c>
      <c r="C235" s="32">
        <v>41000</v>
      </c>
      <c r="D235" s="31">
        <v>55</v>
      </c>
      <c r="E235" s="19" t="s">
        <v>110</v>
      </c>
      <c r="F235" s="78">
        <v>46301</v>
      </c>
      <c r="G235" s="34">
        <v>786429</v>
      </c>
      <c r="H235" s="34">
        <v>808110</v>
      </c>
    </row>
    <row r="236" spans="1:8" x14ac:dyDescent="0.3">
      <c r="A236" s="19" t="s">
        <v>109</v>
      </c>
      <c r="B236" s="32">
        <v>38000</v>
      </c>
      <c r="C236" s="32">
        <v>41000</v>
      </c>
      <c r="D236" s="31">
        <v>55</v>
      </c>
      <c r="E236" s="19" t="s">
        <v>110</v>
      </c>
      <c r="F236" s="78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113</v>
      </c>
      <c r="F237" s="78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113</v>
      </c>
      <c r="F238" s="78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113</v>
      </c>
      <c r="F239" s="78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113</v>
      </c>
      <c r="F240" s="78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113</v>
      </c>
      <c r="F241" s="78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113</v>
      </c>
      <c r="F242" s="78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113</v>
      </c>
      <c r="F243" s="78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113</v>
      </c>
      <c r="F244" s="78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113</v>
      </c>
      <c r="F245" s="78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113</v>
      </c>
      <c r="F246" s="78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111</v>
      </c>
      <c r="F247" s="78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111</v>
      </c>
      <c r="F248" s="78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111</v>
      </c>
      <c r="F249" s="78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111</v>
      </c>
      <c r="F250" s="78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111</v>
      </c>
      <c r="F251" s="78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111</v>
      </c>
      <c r="F252" s="78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111</v>
      </c>
      <c r="F253" s="78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111</v>
      </c>
      <c r="F254" s="78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111</v>
      </c>
      <c r="F255" s="78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111</v>
      </c>
      <c r="F256" s="78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111</v>
      </c>
      <c r="F257" s="78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111</v>
      </c>
      <c r="F258" s="78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111</v>
      </c>
      <c r="F259" s="78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B260" s="32">
        <v>41600</v>
      </c>
      <c r="C260" s="32">
        <v>42000</v>
      </c>
      <c r="D260" s="31">
        <v>61</v>
      </c>
      <c r="E260" s="19" t="s">
        <v>114</v>
      </c>
      <c r="F260" s="78">
        <v>46307</v>
      </c>
      <c r="G260" s="34">
        <v>238784</v>
      </c>
      <c r="H260" s="34">
        <v>241080</v>
      </c>
    </row>
    <row r="261" spans="1:8" x14ac:dyDescent="0.3">
      <c r="A261" s="19" t="s">
        <v>11</v>
      </c>
      <c r="B261" s="32">
        <v>41600</v>
      </c>
      <c r="C261" s="32">
        <v>42000</v>
      </c>
      <c r="D261" s="31">
        <v>61</v>
      </c>
      <c r="E261" s="19" t="s">
        <v>114</v>
      </c>
      <c r="F261" s="78">
        <v>46307</v>
      </c>
      <c r="G261" s="34">
        <v>321152</v>
      </c>
      <c r="H261" s="34">
        <v>324240</v>
      </c>
    </row>
    <row r="262" spans="1:8" x14ac:dyDescent="0.3">
      <c r="A262" s="19" t="s">
        <v>11</v>
      </c>
      <c r="B262" s="32">
        <v>41600</v>
      </c>
      <c r="C262" s="32">
        <v>42000</v>
      </c>
      <c r="D262" s="31">
        <v>61</v>
      </c>
      <c r="E262" s="19" t="s">
        <v>114</v>
      </c>
      <c r="F262" s="78">
        <v>46307</v>
      </c>
      <c r="G262" s="34">
        <v>321984</v>
      </c>
      <c r="H262" s="34">
        <v>325080</v>
      </c>
    </row>
    <row r="263" spans="1:8" x14ac:dyDescent="0.3">
      <c r="A263" s="19" t="s">
        <v>11</v>
      </c>
      <c r="B263" s="32">
        <v>41600</v>
      </c>
      <c r="C263" s="32">
        <v>42000</v>
      </c>
      <c r="D263" s="31">
        <v>61</v>
      </c>
      <c r="E263" s="19" t="s">
        <v>114</v>
      </c>
      <c r="F263" s="78">
        <v>46307</v>
      </c>
      <c r="G263" s="34">
        <v>162240</v>
      </c>
      <c r="H263" s="34">
        <v>163800</v>
      </c>
    </row>
    <row r="264" spans="1:8" x14ac:dyDescent="0.3">
      <c r="A264" s="19" t="s">
        <v>11</v>
      </c>
      <c r="B264" s="32">
        <v>41600</v>
      </c>
      <c r="C264" s="32">
        <v>42000</v>
      </c>
      <c r="D264" s="31">
        <v>61</v>
      </c>
      <c r="E264" s="19" t="s">
        <v>114</v>
      </c>
      <c r="F264" s="78">
        <v>46307</v>
      </c>
      <c r="G264" s="34">
        <v>242112</v>
      </c>
      <c r="H264" s="34">
        <v>244440</v>
      </c>
    </row>
    <row r="265" spans="1:8" x14ac:dyDescent="0.3">
      <c r="A265" s="19" t="s">
        <v>11</v>
      </c>
      <c r="B265" s="32">
        <v>41600</v>
      </c>
      <c r="C265" s="32">
        <v>42000</v>
      </c>
      <c r="D265" s="31">
        <v>61</v>
      </c>
      <c r="E265" s="19" t="s">
        <v>114</v>
      </c>
      <c r="F265" s="78">
        <v>46307</v>
      </c>
      <c r="G265" s="34">
        <v>324480</v>
      </c>
      <c r="H265" s="34">
        <v>327600</v>
      </c>
    </row>
    <row r="266" spans="1:8" x14ac:dyDescent="0.3">
      <c r="A266" s="19" t="s">
        <v>11</v>
      </c>
      <c r="B266" s="32">
        <v>39800</v>
      </c>
      <c r="C266" s="32">
        <v>40000</v>
      </c>
      <c r="D266" s="31">
        <v>62</v>
      </c>
      <c r="E266" s="19" t="s">
        <v>123</v>
      </c>
      <c r="F266" s="78">
        <v>46307</v>
      </c>
      <c r="G266" s="34">
        <v>184473</v>
      </c>
      <c r="H266" s="34">
        <v>185400</v>
      </c>
    </row>
    <row r="267" spans="1:8" x14ac:dyDescent="0.3">
      <c r="A267" s="19" t="s">
        <v>11</v>
      </c>
      <c r="B267" s="32">
        <v>39800</v>
      </c>
      <c r="C267" s="32">
        <v>40000</v>
      </c>
      <c r="D267" s="31">
        <v>62</v>
      </c>
      <c r="E267" s="19" t="s">
        <v>123</v>
      </c>
      <c r="F267" s="78">
        <v>46307</v>
      </c>
      <c r="G267" s="34">
        <v>711823.00000000012</v>
      </c>
      <c r="H267" s="34">
        <v>715400.00000000012</v>
      </c>
    </row>
    <row r="268" spans="1:8" x14ac:dyDescent="0.3">
      <c r="A268" s="19" t="s">
        <v>11</v>
      </c>
      <c r="B268" s="32">
        <v>39800</v>
      </c>
      <c r="C268" s="32">
        <v>40000</v>
      </c>
      <c r="D268" s="31">
        <v>62</v>
      </c>
      <c r="E268" s="19" t="s">
        <v>123</v>
      </c>
      <c r="F268" s="78">
        <v>46307</v>
      </c>
      <c r="G268" s="34">
        <v>930325</v>
      </c>
      <c r="H268" s="34">
        <v>935000</v>
      </c>
    </row>
    <row r="269" spans="1:8" x14ac:dyDescent="0.3">
      <c r="A269" s="19" t="s">
        <v>11</v>
      </c>
      <c r="B269" s="32">
        <v>39800</v>
      </c>
      <c r="C269" s="32">
        <v>40000</v>
      </c>
      <c r="D269" s="31">
        <v>62</v>
      </c>
      <c r="E269" s="19" t="s">
        <v>123</v>
      </c>
      <c r="F269" s="78">
        <v>46307</v>
      </c>
      <c r="G269" s="34">
        <v>1950200</v>
      </c>
      <c r="H269" s="34">
        <v>1960000</v>
      </c>
    </row>
    <row r="270" spans="1:8" x14ac:dyDescent="0.3">
      <c r="A270" s="19" t="s">
        <v>11</v>
      </c>
      <c r="B270" s="32">
        <v>39800</v>
      </c>
      <c r="C270" s="32">
        <v>40100</v>
      </c>
      <c r="D270" s="31">
        <v>63</v>
      </c>
      <c r="E270" s="19" t="s">
        <v>123</v>
      </c>
      <c r="F270" s="78">
        <v>46308</v>
      </c>
      <c r="G270" s="34">
        <v>77212</v>
      </c>
      <c r="H270" s="34">
        <v>77794</v>
      </c>
    </row>
    <row r="271" spans="1:8" x14ac:dyDescent="0.3">
      <c r="A271" s="19" t="s">
        <v>11</v>
      </c>
      <c r="B271" s="32">
        <v>39800</v>
      </c>
      <c r="C271" s="32">
        <v>40100</v>
      </c>
      <c r="D271" s="31">
        <v>63</v>
      </c>
      <c r="E271" s="19" t="s">
        <v>123</v>
      </c>
      <c r="F271" s="78">
        <v>46308</v>
      </c>
      <c r="G271" s="34">
        <v>77212</v>
      </c>
      <c r="H271" s="34">
        <v>77794</v>
      </c>
    </row>
    <row r="272" spans="1:8" x14ac:dyDescent="0.3">
      <c r="A272" s="19" t="s">
        <v>11</v>
      </c>
      <c r="B272" s="32">
        <v>39800</v>
      </c>
      <c r="C272" s="32">
        <v>40100</v>
      </c>
      <c r="D272" s="31">
        <v>63</v>
      </c>
      <c r="E272" s="19" t="s">
        <v>123</v>
      </c>
      <c r="F272" s="78">
        <v>46308</v>
      </c>
      <c r="G272" s="34">
        <v>78804</v>
      </c>
      <c r="H272" s="34">
        <v>79398</v>
      </c>
    </row>
    <row r="273" spans="1:8" x14ac:dyDescent="0.3">
      <c r="A273" s="19" t="s">
        <v>11</v>
      </c>
      <c r="B273" s="32">
        <v>39800</v>
      </c>
      <c r="C273" s="32">
        <v>40100</v>
      </c>
      <c r="D273" s="31">
        <v>63</v>
      </c>
      <c r="E273" s="19" t="s">
        <v>123</v>
      </c>
      <c r="F273" s="78">
        <v>46308</v>
      </c>
      <c r="G273" s="34">
        <v>77610</v>
      </c>
      <c r="H273" s="34">
        <v>78195</v>
      </c>
    </row>
    <row r="274" spans="1:8" x14ac:dyDescent="0.3">
      <c r="A274" s="19" t="s">
        <v>11</v>
      </c>
      <c r="B274" s="32">
        <v>39800</v>
      </c>
      <c r="C274" s="32">
        <v>40100</v>
      </c>
      <c r="D274" s="31">
        <v>63</v>
      </c>
      <c r="E274" s="19" t="s">
        <v>123</v>
      </c>
      <c r="F274" s="78">
        <v>46308</v>
      </c>
      <c r="G274" s="34">
        <v>480784</v>
      </c>
      <c r="H274" s="34">
        <v>484408</v>
      </c>
    </row>
    <row r="275" spans="1:8" x14ac:dyDescent="0.3">
      <c r="A275" s="19" t="s">
        <v>11</v>
      </c>
      <c r="B275" s="32">
        <v>39800</v>
      </c>
      <c r="C275" s="32">
        <v>40100</v>
      </c>
      <c r="D275" s="31">
        <v>63</v>
      </c>
      <c r="E275" s="19" t="s">
        <v>123</v>
      </c>
      <c r="F275" s="78">
        <v>46308</v>
      </c>
      <c r="G275" s="34">
        <v>6326210</v>
      </c>
      <c r="H275" s="34">
        <v>6373895</v>
      </c>
    </row>
    <row r="276" spans="1:8" x14ac:dyDescent="0.3">
      <c r="A276" s="19" t="s">
        <v>8</v>
      </c>
      <c r="B276" s="32">
        <v>40100</v>
      </c>
      <c r="C276" s="32">
        <v>40500</v>
      </c>
      <c r="D276" s="31">
        <v>64</v>
      </c>
      <c r="E276" s="19" t="s">
        <v>113</v>
      </c>
      <c r="F276" s="78">
        <v>46309</v>
      </c>
      <c r="G276" s="34">
        <v>122706</v>
      </c>
      <c r="H276" s="34">
        <v>123930</v>
      </c>
    </row>
    <row r="277" spans="1:8" x14ac:dyDescent="0.3">
      <c r="A277" s="19" t="s">
        <v>8</v>
      </c>
      <c r="B277" s="32">
        <v>40100</v>
      </c>
      <c r="C277" s="32">
        <v>40500</v>
      </c>
      <c r="D277" s="31">
        <v>64</v>
      </c>
      <c r="E277" s="19" t="s">
        <v>113</v>
      </c>
      <c r="F277" s="78">
        <v>46309</v>
      </c>
      <c r="G277" s="34">
        <v>481400.50000000006</v>
      </c>
      <c r="H277" s="34">
        <v>486202.50000000006</v>
      </c>
    </row>
    <row r="278" spans="1:8" x14ac:dyDescent="0.3">
      <c r="A278" s="19" t="s">
        <v>8</v>
      </c>
      <c r="B278" s="32">
        <v>40100</v>
      </c>
      <c r="C278" s="32">
        <v>40500</v>
      </c>
      <c r="D278" s="31">
        <v>64</v>
      </c>
      <c r="E278" s="19" t="s">
        <v>113</v>
      </c>
      <c r="F278" s="78">
        <v>46309</v>
      </c>
      <c r="G278" s="34">
        <v>157793.5</v>
      </c>
      <c r="H278" s="34">
        <v>159367.5</v>
      </c>
    </row>
    <row r="279" spans="1:8" x14ac:dyDescent="0.3">
      <c r="A279" s="19" t="s">
        <v>8</v>
      </c>
      <c r="B279" s="32">
        <v>40100</v>
      </c>
      <c r="C279" s="32">
        <v>40500</v>
      </c>
      <c r="D279" s="31">
        <v>64</v>
      </c>
      <c r="E279" s="19" t="s">
        <v>113</v>
      </c>
      <c r="F279" s="78">
        <v>46309</v>
      </c>
      <c r="G279" s="34">
        <v>394383.50000000006</v>
      </c>
      <c r="H279" s="34">
        <v>398317.50000000006</v>
      </c>
    </row>
    <row r="280" spans="1:8" x14ac:dyDescent="0.3">
      <c r="A280" s="19" t="s">
        <v>8</v>
      </c>
      <c r="B280" s="32">
        <v>40100</v>
      </c>
      <c r="C280" s="32">
        <v>40500</v>
      </c>
      <c r="D280" s="31">
        <v>64</v>
      </c>
      <c r="E280" s="19" t="s">
        <v>113</v>
      </c>
      <c r="F280" s="78">
        <v>46309</v>
      </c>
      <c r="G280" s="34">
        <v>80600.999999999985</v>
      </c>
      <c r="H280" s="34">
        <v>81404.999999999985</v>
      </c>
    </row>
    <row r="281" spans="1:8" x14ac:dyDescent="0.3">
      <c r="A281" s="19" t="s">
        <v>8</v>
      </c>
      <c r="B281" s="32">
        <v>40100</v>
      </c>
      <c r="C281" s="32">
        <v>40500</v>
      </c>
      <c r="D281" s="31">
        <v>67</v>
      </c>
      <c r="E281" s="19" t="s">
        <v>113</v>
      </c>
      <c r="F281" s="78">
        <v>46309</v>
      </c>
      <c r="G281" s="34">
        <v>62355.5</v>
      </c>
      <c r="H281" s="34">
        <v>62977.5</v>
      </c>
    </row>
    <row r="282" spans="1:8" x14ac:dyDescent="0.3">
      <c r="A282" s="19" t="s">
        <v>8</v>
      </c>
      <c r="B282" s="32">
        <v>40100</v>
      </c>
      <c r="C282" s="32">
        <v>40500</v>
      </c>
      <c r="D282" s="31">
        <v>67</v>
      </c>
      <c r="E282" s="19" t="s">
        <v>113</v>
      </c>
      <c r="F282" s="78">
        <v>46309</v>
      </c>
      <c r="G282" s="34">
        <v>159397.5</v>
      </c>
      <c r="H282" s="34">
        <v>160987.5</v>
      </c>
    </row>
    <row r="283" spans="1:8" x14ac:dyDescent="0.3">
      <c r="A283" s="19" t="s">
        <v>8</v>
      </c>
      <c r="B283" s="32">
        <v>40100</v>
      </c>
      <c r="C283" s="32">
        <v>40500</v>
      </c>
      <c r="D283" s="31">
        <v>67</v>
      </c>
      <c r="E283" s="19" t="s">
        <v>113</v>
      </c>
      <c r="F283" s="78">
        <v>46309</v>
      </c>
      <c r="G283" s="34">
        <v>79197.5</v>
      </c>
      <c r="H283" s="34">
        <v>79987.5</v>
      </c>
    </row>
    <row r="284" spans="1:8" x14ac:dyDescent="0.3">
      <c r="A284" s="19" t="s">
        <v>8</v>
      </c>
      <c r="B284" s="32">
        <v>40100</v>
      </c>
      <c r="C284" s="32">
        <v>40500</v>
      </c>
      <c r="D284" s="31">
        <v>67</v>
      </c>
      <c r="E284" s="19" t="s">
        <v>113</v>
      </c>
      <c r="F284" s="78">
        <v>46309</v>
      </c>
      <c r="G284" s="34">
        <v>236590</v>
      </c>
      <c r="H284" s="34">
        <v>238950</v>
      </c>
    </row>
    <row r="285" spans="1:8" x14ac:dyDescent="0.3">
      <c r="A285" s="19" t="s">
        <v>11</v>
      </c>
      <c r="B285" s="32">
        <v>39100</v>
      </c>
      <c r="C285" s="32">
        <v>39300</v>
      </c>
      <c r="D285" s="31">
        <v>68</v>
      </c>
      <c r="E285" s="19" t="s">
        <v>111</v>
      </c>
      <c r="F285" s="78">
        <v>46309</v>
      </c>
      <c r="G285" s="34">
        <v>1158142</v>
      </c>
      <c r="H285" s="34">
        <v>1164066</v>
      </c>
    </row>
    <row r="286" spans="1:8" x14ac:dyDescent="0.3">
      <c r="A286" s="19" t="s">
        <v>11</v>
      </c>
      <c r="B286" s="32">
        <v>39100</v>
      </c>
      <c r="C286" s="32">
        <v>39300</v>
      </c>
      <c r="D286" s="31">
        <v>69</v>
      </c>
      <c r="E286" s="19" t="s">
        <v>111</v>
      </c>
      <c r="F286" s="78">
        <v>46312</v>
      </c>
      <c r="G286" s="34">
        <v>1774358</v>
      </c>
      <c r="H286" s="34">
        <v>1783434</v>
      </c>
    </row>
    <row r="287" spans="1:8" x14ac:dyDescent="0.3">
      <c r="A287" s="19" t="s">
        <v>11</v>
      </c>
      <c r="C287" s="32">
        <v>0</v>
      </c>
      <c r="D287" s="31">
        <v>69</v>
      </c>
      <c r="E287" s="19" t="s">
        <v>111</v>
      </c>
      <c r="F287" s="78"/>
      <c r="G287" s="34">
        <v>0</v>
      </c>
      <c r="H287" s="34">
        <v>0</v>
      </c>
    </row>
    <row r="288" spans="1:8" x14ac:dyDescent="0.3">
      <c r="A288" s="19" t="s">
        <v>115</v>
      </c>
      <c r="B288" s="32">
        <v>41150</v>
      </c>
      <c r="C288" s="32">
        <v>42500</v>
      </c>
      <c r="D288" s="31">
        <v>70</v>
      </c>
      <c r="E288" s="19" t="s">
        <v>124</v>
      </c>
      <c r="F288" s="78">
        <v>46310</v>
      </c>
      <c r="G288" s="34">
        <v>471579.00000000006</v>
      </c>
      <c r="H288" s="34">
        <v>487050.00000000006</v>
      </c>
    </row>
    <row r="289" spans="1:8" x14ac:dyDescent="0.3">
      <c r="A289" s="19" t="s">
        <v>115</v>
      </c>
      <c r="B289" s="32">
        <v>41150</v>
      </c>
      <c r="C289" s="32">
        <v>42500</v>
      </c>
      <c r="D289" s="31">
        <v>70</v>
      </c>
      <c r="E289" s="19" t="s">
        <v>124</v>
      </c>
      <c r="F289" s="78">
        <v>46310</v>
      </c>
      <c r="G289" s="34">
        <v>712718</v>
      </c>
      <c r="H289" s="34">
        <v>736100</v>
      </c>
    </row>
    <row r="290" spans="1:8" x14ac:dyDescent="0.3">
      <c r="A290" s="19" t="s">
        <v>115</v>
      </c>
      <c r="B290" s="32">
        <v>41150</v>
      </c>
      <c r="C290" s="32">
        <v>42500</v>
      </c>
      <c r="D290" s="31">
        <v>70</v>
      </c>
      <c r="E290" s="19" t="s">
        <v>124</v>
      </c>
      <c r="F290" s="78">
        <v>46310</v>
      </c>
      <c r="G290" s="34">
        <v>402447</v>
      </c>
      <c r="H290" s="34">
        <v>415650</v>
      </c>
    </row>
    <row r="291" spans="1:8" x14ac:dyDescent="0.3">
      <c r="A291" s="19" t="s">
        <v>115</v>
      </c>
      <c r="B291" s="32">
        <v>41150</v>
      </c>
      <c r="C291" s="32">
        <v>42500</v>
      </c>
      <c r="D291" s="31">
        <v>70</v>
      </c>
      <c r="E291" s="19" t="s">
        <v>124</v>
      </c>
      <c r="F291" s="78">
        <v>46310</v>
      </c>
      <c r="G291" s="34">
        <v>430429.00000000006</v>
      </c>
      <c r="H291" s="34">
        <v>444550.00000000006</v>
      </c>
    </row>
    <row r="292" spans="1:8" x14ac:dyDescent="0.3">
      <c r="A292" s="19" t="s">
        <v>11</v>
      </c>
      <c r="B292" s="32">
        <v>39200</v>
      </c>
      <c r="C292" s="32">
        <v>39300</v>
      </c>
      <c r="D292" s="31">
        <v>71</v>
      </c>
      <c r="E292" s="19" t="s">
        <v>111</v>
      </c>
      <c r="F292" s="78">
        <v>46313</v>
      </c>
      <c r="G292" s="34">
        <v>232651.99999999997</v>
      </c>
      <c r="H292" s="34">
        <v>233245.49999999997</v>
      </c>
    </row>
    <row r="293" spans="1:8" x14ac:dyDescent="0.3">
      <c r="A293" s="19" t="s">
        <v>11</v>
      </c>
      <c r="B293" s="32">
        <v>39200</v>
      </c>
      <c r="C293" s="32">
        <v>39300</v>
      </c>
      <c r="D293" s="31">
        <v>71</v>
      </c>
      <c r="E293" s="19" t="s">
        <v>111</v>
      </c>
      <c r="F293" s="78">
        <v>46313</v>
      </c>
      <c r="G293" s="34">
        <v>614656</v>
      </c>
      <c r="H293" s="34">
        <v>616224</v>
      </c>
    </row>
    <row r="294" spans="1:8" x14ac:dyDescent="0.3">
      <c r="A294" s="19" t="s">
        <v>11</v>
      </c>
      <c r="B294" s="32">
        <v>39200</v>
      </c>
      <c r="C294" s="32">
        <v>39300</v>
      </c>
      <c r="D294" s="31">
        <v>71</v>
      </c>
      <c r="E294" s="19" t="s">
        <v>111</v>
      </c>
      <c r="F294" s="78">
        <v>46313</v>
      </c>
      <c r="G294" s="34">
        <v>305956</v>
      </c>
      <c r="H294" s="34">
        <v>306736.5</v>
      </c>
    </row>
    <row r="295" spans="1:8" x14ac:dyDescent="0.3">
      <c r="A295" s="19" t="s">
        <v>109</v>
      </c>
      <c r="B295" s="32">
        <v>39800</v>
      </c>
      <c r="C295" s="32">
        <v>41000</v>
      </c>
      <c r="D295" s="31">
        <v>72</v>
      </c>
      <c r="E295" s="19" t="s">
        <v>129</v>
      </c>
      <c r="F295" s="78">
        <v>46313</v>
      </c>
      <c r="G295" s="34">
        <v>1982637</v>
      </c>
      <c r="H295" s="34">
        <v>2042415</v>
      </c>
    </row>
    <row r="296" spans="1:8" x14ac:dyDescent="0.3">
      <c r="A296" s="19" t="s">
        <v>109</v>
      </c>
      <c r="B296" s="32">
        <v>39800</v>
      </c>
      <c r="C296" s="32">
        <v>41000</v>
      </c>
      <c r="D296" s="31">
        <v>72</v>
      </c>
      <c r="E296" s="19" t="s">
        <v>129</v>
      </c>
      <c r="F296" s="78">
        <v>46313</v>
      </c>
      <c r="G296" s="34">
        <v>390637</v>
      </c>
      <c r="H296" s="34">
        <v>402415</v>
      </c>
    </row>
    <row r="297" spans="1:8" x14ac:dyDescent="0.3">
      <c r="A297" s="19" t="s">
        <v>109</v>
      </c>
      <c r="B297" s="32">
        <v>3960</v>
      </c>
      <c r="D297" s="31">
        <v>72</v>
      </c>
      <c r="E297" s="19" t="s">
        <v>129</v>
      </c>
      <c r="F297" s="78">
        <v>46313</v>
      </c>
      <c r="G297" s="34">
        <v>277200</v>
      </c>
      <c r="H297" s="34">
        <v>0</v>
      </c>
    </row>
    <row r="298" spans="1:8" x14ac:dyDescent="0.3">
      <c r="A298" s="19" t="s">
        <v>109</v>
      </c>
      <c r="B298" s="32">
        <v>3960</v>
      </c>
      <c r="D298" s="31">
        <v>72</v>
      </c>
      <c r="E298" s="19" t="s">
        <v>129</v>
      </c>
      <c r="F298" s="78">
        <v>46313</v>
      </c>
      <c r="G298" s="34">
        <v>297000</v>
      </c>
      <c r="H298" s="34">
        <v>0</v>
      </c>
    </row>
    <row r="299" spans="1:8" x14ac:dyDescent="0.3">
      <c r="A299" s="19" t="s">
        <v>8</v>
      </c>
      <c r="B299" s="32">
        <v>40100</v>
      </c>
      <c r="C299" s="32">
        <v>40400</v>
      </c>
      <c r="D299" s="31">
        <v>73</v>
      </c>
      <c r="E299" s="19" t="s">
        <v>113</v>
      </c>
      <c r="F299" s="78">
        <v>46314</v>
      </c>
      <c r="G299" s="34">
        <v>1598386</v>
      </c>
      <c r="H299" s="34">
        <v>1610344</v>
      </c>
    </row>
    <row r="300" spans="1:8" x14ac:dyDescent="0.3">
      <c r="A300" s="19" t="s">
        <v>8</v>
      </c>
      <c r="B300" s="32">
        <v>40100</v>
      </c>
      <c r="C300" s="32">
        <v>40400</v>
      </c>
      <c r="D300" s="31">
        <v>73</v>
      </c>
      <c r="E300" s="19" t="s">
        <v>113</v>
      </c>
      <c r="F300" s="78">
        <v>46314</v>
      </c>
      <c r="G300" s="34">
        <v>1575930</v>
      </c>
      <c r="H300" s="34">
        <v>1587720</v>
      </c>
    </row>
    <row r="301" spans="1:8" x14ac:dyDescent="0.3">
      <c r="A301" s="19" t="s">
        <v>8</v>
      </c>
      <c r="B301" s="32">
        <v>40100</v>
      </c>
      <c r="C301" s="32">
        <v>40400</v>
      </c>
      <c r="D301" s="31">
        <v>73</v>
      </c>
      <c r="E301" s="19" t="s">
        <v>113</v>
      </c>
      <c r="F301" s="78">
        <v>46314</v>
      </c>
      <c r="G301" s="34">
        <v>1583549</v>
      </c>
      <c r="H301" s="34">
        <v>1595396</v>
      </c>
    </row>
    <row r="302" spans="1:8" x14ac:dyDescent="0.3">
      <c r="A302" s="19" t="s">
        <v>8</v>
      </c>
      <c r="B302" s="32">
        <v>40100</v>
      </c>
      <c r="C302" s="32">
        <v>40400</v>
      </c>
      <c r="D302" s="31">
        <v>73</v>
      </c>
      <c r="E302" s="19" t="s">
        <v>113</v>
      </c>
      <c r="F302" s="78">
        <v>46314</v>
      </c>
      <c r="G302" s="34">
        <v>1176734.5</v>
      </c>
      <c r="H302" s="34">
        <v>1185538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zoomScale="98" zoomScaleNormal="98" workbookViewId="0">
      <selection activeCell="L10" sqref="L10"/>
    </sheetView>
  </sheetViews>
  <sheetFormatPr defaultRowHeight="14.4" x14ac:dyDescent="0.3"/>
  <cols>
    <col min="1" max="1" width="10.10937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7" t="s">
        <v>96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</row>
    <row r="2" spans="1:12" ht="31.8" customHeight="1" x14ac:dyDescent="0.3">
      <c r="A2" s="36" t="s">
        <v>152</v>
      </c>
      <c r="B2" s="69" t="s">
        <v>153</v>
      </c>
      <c r="C2" s="70"/>
      <c r="D2" s="37" t="s">
        <v>125</v>
      </c>
      <c r="E2" s="38" t="s">
        <v>131</v>
      </c>
      <c r="F2" s="43" t="s">
        <v>99</v>
      </c>
      <c r="G2" s="39" t="s">
        <v>3</v>
      </c>
      <c r="H2" s="40" t="s">
        <v>100</v>
      </c>
      <c r="I2" s="39" t="s">
        <v>101</v>
      </c>
      <c r="J2" s="40" t="s">
        <v>102</v>
      </c>
      <c r="K2" s="39" t="s">
        <v>101</v>
      </c>
      <c r="L2" s="41" t="s">
        <v>103</v>
      </c>
    </row>
    <row r="3" spans="1:12" ht="14.4" customHeight="1" x14ac:dyDescent="0.3">
      <c r="A3" s="44" t="s">
        <v>104</v>
      </c>
      <c r="B3" s="45"/>
      <c r="C3" s="44"/>
      <c r="D3" s="46">
        <v>459142485.76096499</v>
      </c>
      <c r="E3" s="46">
        <v>287115951.74780703</v>
      </c>
      <c r="F3" s="46"/>
      <c r="G3" s="46">
        <v>287115951.74780703</v>
      </c>
      <c r="H3" s="47">
        <v>168084734.70076022</v>
      </c>
      <c r="I3" s="46">
        <v>119031217.04704678</v>
      </c>
      <c r="J3" s="46">
        <v>50850224.498684213</v>
      </c>
      <c r="K3" s="45"/>
      <c r="L3" s="45"/>
    </row>
    <row r="4" spans="1:12" ht="25.2" customHeight="1" x14ac:dyDescent="0.3">
      <c r="A4" s="56" t="s">
        <v>97</v>
      </c>
      <c r="B4" s="48" t="s">
        <v>0</v>
      </c>
      <c r="C4" s="48" t="s">
        <v>95</v>
      </c>
      <c r="D4" s="48" t="s">
        <v>83</v>
      </c>
      <c r="E4" s="57" t="s">
        <v>98</v>
      </c>
      <c r="F4" s="48" t="s">
        <v>3</v>
      </c>
      <c r="G4" s="48" t="s">
        <v>84</v>
      </c>
      <c r="H4" s="48" t="s">
        <v>85</v>
      </c>
      <c r="I4" s="48" t="s">
        <v>86</v>
      </c>
      <c r="J4" s="49" t="s">
        <v>87</v>
      </c>
      <c r="K4" s="49" t="s">
        <v>88</v>
      </c>
      <c r="L4" s="48" t="s">
        <v>89</v>
      </c>
    </row>
    <row r="5" spans="1:12" ht="14.4" customHeight="1" x14ac:dyDescent="0.3">
      <c r="A5" s="58">
        <v>54</v>
      </c>
      <c r="B5" s="50" t="s">
        <v>11</v>
      </c>
      <c r="C5" s="51">
        <v>46303</v>
      </c>
      <c r="D5" s="52">
        <v>1170468</v>
      </c>
      <c r="E5" s="55" t="s">
        <v>91</v>
      </c>
      <c r="F5" s="51">
        <v>46303</v>
      </c>
      <c r="G5" s="52">
        <v>1170468</v>
      </c>
      <c r="H5" s="52">
        <v>848958</v>
      </c>
      <c r="I5" s="52">
        <v>321510</v>
      </c>
      <c r="J5" s="52">
        <v>321510</v>
      </c>
      <c r="K5" s="53" t="s">
        <v>154</v>
      </c>
      <c r="L5" s="50" t="s">
        <v>133</v>
      </c>
    </row>
    <row r="6" spans="1:12" ht="14.4" customHeight="1" x14ac:dyDescent="0.3">
      <c r="A6" s="59">
        <v>57</v>
      </c>
      <c r="B6" s="50" t="s">
        <v>8</v>
      </c>
      <c r="C6" s="51">
        <v>46304</v>
      </c>
      <c r="D6" s="52">
        <v>12289987.052631579</v>
      </c>
      <c r="E6" s="42" t="s">
        <v>91</v>
      </c>
      <c r="F6" s="51">
        <v>46304</v>
      </c>
      <c r="G6" s="60">
        <v>4915994.8210526323</v>
      </c>
      <c r="H6" s="52">
        <v>4022443</v>
      </c>
      <c r="I6" s="52">
        <v>893551.82105263229</v>
      </c>
      <c r="J6" s="52">
        <v>893551.82105263229</v>
      </c>
      <c r="K6" s="53" t="s">
        <v>132</v>
      </c>
      <c r="L6" s="50" t="s">
        <v>133</v>
      </c>
    </row>
    <row r="7" spans="1:12" ht="14.4" customHeight="1" x14ac:dyDescent="0.3">
      <c r="A7" s="61">
        <v>60</v>
      </c>
      <c r="B7" s="50" t="s">
        <v>8</v>
      </c>
      <c r="C7" s="51">
        <v>46306</v>
      </c>
      <c r="D7" s="52">
        <v>26271786.315789472</v>
      </c>
      <c r="E7" s="42" t="s">
        <v>91</v>
      </c>
      <c r="F7" s="51">
        <v>46306</v>
      </c>
      <c r="G7" s="52">
        <v>26271786.315789472</v>
      </c>
      <c r="H7" s="52">
        <v>0</v>
      </c>
      <c r="I7" s="52">
        <v>26271786.315789472</v>
      </c>
      <c r="J7" s="52">
        <v>26271786.315789472</v>
      </c>
      <c r="K7" s="53" t="s">
        <v>155</v>
      </c>
      <c r="L7" s="50" t="s">
        <v>133</v>
      </c>
    </row>
    <row r="8" spans="1:12" ht="14.4" customHeight="1" x14ac:dyDescent="0.3">
      <c r="A8" s="58">
        <v>61</v>
      </c>
      <c r="B8" s="50" t="s">
        <v>11</v>
      </c>
      <c r="C8" s="51">
        <v>46307</v>
      </c>
      <c r="D8" s="52">
        <v>1626240</v>
      </c>
      <c r="E8" s="42" t="s">
        <v>91</v>
      </c>
      <c r="F8" s="51">
        <v>46307</v>
      </c>
      <c r="G8" s="52">
        <v>1626240</v>
      </c>
      <c r="H8" s="52">
        <v>0</v>
      </c>
      <c r="I8" s="52">
        <v>1626240</v>
      </c>
      <c r="J8" s="52">
        <v>1626240</v>
      </c>
      <c r="K8" s="53" t="s">
        <v>134</v>
      </c>
      <c r="L8" s="50" t="s">
        <v>133</v>
      </c>
    </row>
    <row r="9" spans="1:12" ht="14.4" customHeight="1" x14ac:dyDescent="0.3">
      <c r="A9" s="58">
        <v>62</v>
      </c>
      <c r="B9" s="50" t="s">
        <v>11</v>
      </c>
      <c r="C9" s="51">
        <v>46307</v>
      </c>
      <c r="D9" s="52">
        <v>3795800</v>
      </c>
      <c r="E9" s="42" t="s">
        <v>91</v>
      </c>
      <c r="F9" s="51">
        <v>46307</v>
      </c>
      <c r="G9" s="52">
        <v>948950</v>
      </c>
      <c r="H9" s="52">
        <v>0</v>
      </c>
      <c r="I9" s="52">
        <v>948950</v>
      </c>
      <c r="J9" s="52">
        <v>948950</v>
      </c>
      <c r="K9" s="53" t="s">
        <v>134</v>
      </c>
      <c r="L9" s="50" t="s">
        <v>133</v>
      </c>
    </row>
    <row r="10" spans="1:12" ht="14.4" customHeight="1" x14ac:dyDescent="0.3">
      <c r="A10" s="59">
        <v>63</v>
      </c>
      <c r="B10" s="50" t="s">
        <v>11</v>
      </c>
      <c r="C10" s="51">
        <v>46308</v>
      </c>
      <c r="D10" s="52">
        <v>7171484</v>
      </c>
      <c r="E10" s="42" t="s">
        <v>91</v>
      </c>
      <c r="F10" s="51">
        <v>46308</v>
      </c>
      <c r="G10" s="52">
        <v>1792871</v>
      </c>
      <c r="H10" s="52">
        <v>0</v>
      </c>
      <c r="I10" s="52">
        <v>1792871</v>
      </c>
      <c r="J10" s="52">
        <v>1792871</v>
      </c>
      <c r="K10" s="53" t="s">
        <v>135</v>
      </c>
      <c r="L10" s="50" t="s">
        <v>133</v>
      </c>
    </row>
    <row r="11" spans="1:12" ht="14.4" customHeight="1" x14ac:dyDescent="0.3">
      <c r="A11" s="61">
        <v>64</v>
      </c>
      <c r="B11" s="50" t="s">
        <v>8</v>
      </c>
      <c r="C11" s="51">
        <v>46309</v>
      </c>
      <c r="D11" s="52">
        <v>1238264.4078947369</v>
      </c>
      <c r="E11" s="42" t="s">
        <v>91</v>
      </c>
      <c r="F11" s="51">
        <v>46309</v>
      </c>
      <c r="G11" s="52">
        <v>495305.76315789478</v>
      </c>
      <c r="H11" s="52">
        <v>0</v>
      </c>
      <c r="I11" s="52">
        <v>495305.76315789478</v>
      </c>
      <c r="J11" s="52">
        <v>495305.76315789478</v>
      </c>
      <c r="K11" s="53" t="s">
        <v>136</v>
      </c>
      <c r="L11" s="50" t="s">
        <v>133</v>
      </c>
    </row>
    <row r="12" spans="1:12" ht="14.4" customHeight="1" x14ac:dyDescent="0.3">
      <c r="A12" s="58">
        <v>67</v>
      </c>
      <c r="B12" s="50" t="s">
        <v>8</v>
      </c>
      <c r="C12" s="51">
        <v>46309</v>
      </c>
      <c r="D12" s="52">
        <v>538140.19736842101</v>
      </c>
      <c r="E12" s="42" t="s">
        <v>91</v>
      </c>
      <c r="F12" s="51">
        <v>46309</v>
      </c>
      <c r="G12" s="52">
        <v>215256.07894736843</v>
      </c>
      <c r="H12" s="52">
        <v>0</v>
      </c>
      <c r="I12" s="52">
        <v>215256.07894736843</v>
      </c>
      <c r="J12" s="52">
        <v>215256.07894736843</v>
      </c>
      <c r="K12" s="53" t="s">
        <v>136</v>
      </c>
      <c r="L12" s="50" t="s">
        <v>133</v>
      </c>
    </row>
    <row r="13" spans="1:12" ht="14.4" customHeight="1" x14ac:dyDescent="0.3">
      <c r="A13" s="59">
        <v>68</v>
      </c>
      <c r="B13" s="50" t="s">
        <v>11</v>
      </c>
      <c r="C13" s="51">
        <v>46309</v>
      </c>
      <c r="D13" s="52">
        <v>1164066</v>
      </c>
      <c r="E13" s="42" t="s">
        <v>91</v>
      </c>
      <c r="F13" s="51">
        <v>46309</v>
      </c>
      <c r="G13" s="52">
        <v>1164066</v>
      </c>
      <c r="H13" s="52">
        <v>0</v>
      </c>
      <c r="I13" s="52">
        <v>1164066</v>
      </c>
      <c r="J13" s="52">
        <v>1164066</v>
      </c>
      <c r="K13" s="53" t="s">
        <v>136</v>
      </c>
      <c r="L13" s="50" t="s">
        <v>133</v>
      </c>
    </row>
    <row r="14" spans="1:12" ht="14.4" customHeight="1" x14ac:dyDescent="0.3">
      <c r="A14" s="58">
        <v>39</v>
      </c>
      <c r="B14" s="50" t="s">
        <v>46</v>
      </c>
      <c r="C14" s="51">
        <v>46250</v>
      </c>
      <c r="D14" s="52">
        <v>2017305</v>
      </c>
      <c r="E14" s="42" t="s">
        <v>90</v>
      </c>
      <c r="F14" s="51">
        <v>46310</v>
      </c>
      <c r="G14" s="52">
        <v>2017305</v>
      </c>
      <c r="H14" s="52">
        <v>2000000</v>
      </c>
      <c r="I14" s="52">
        <v>17305</v>
      </c>
      <c r="J14" s="52">
        <v>17305</v>
      </c>
      <c r="K14" s="53" t="s">
        <v>137</v>
      </c>
      <c r="L14" s="50" t="s">
        <v>133</v>
      </c>
    </row>
    <row r="15" spans="1:12" ht="14.4" customHeight="1" x14ac:dyDescent="0.3">
      <c r="A15" s="42">
        <v>69</v>
      </c>
      <c r="B15" s="50" t="s">
        <v>11</v>
      </c>
      <c r="C15" s="51">
        <v>46312</v>
      </c>
      <c r="D15" s="52">
        <v>1783434</v>
      </c>
      <c r="E15" s="42" t="s">
        <v>91</v>
      </c>
      <c r="F15" s="51">
        <v>46312</v>
      </c>
      <c r="G15" s="52">
        <v>1783434</v>
      </c>
      <c r="H15" s="52">
        <v>0</v>
      </c>
      <c r="I15" s="52">
        <v>1783434</v>
      </c>
      <c r="J15" s="52">
        <v>1783434</v>
      </c>
      <c r="K15" s="53" t="s">
        <v>156</v>
      </c>
      <c r="L15" s="50" t="s">
        <v>133</v>
      </c>
    </row>
    <row r="16" spans="1:12" ht="14.4" customHeight="1" x14ac:dyDescent="0.3">
      <c r="A16" s="42">
        <v>71</v>
      </c>
      <c r="B16" s="50" t="s">
        <v>11</v>
      </c>
      <c r="C16" s="51">
        <v>46313</v>
      </c>
      <c r="D16" s="52">
        <v>1156206</v>
      </c>
      <c r="E16" s="42" t="s">
        <v>91</v>
      </c>
      <c r="F16" s="51">
        <v>46313</v>
      </c>
      <c r="G16" s="52">
        <v>1156206</v>
      </c>
      <c r="H16" s="52">
        <v>0</v>
      </c>
      <c r="I16" s="52">
        <v>1156206</v>
      </c>
      <c r="J16" s="52">
        <v>1156206</v>
      </c>
      <c r="K16" s="53" t="s">
        <v>138</v>
      </c>
      <c r="L16" s="50" t="s">
        <v>133</v>
      </c>
    </row>
    <row r="17" spans="1:12" ht="14.4" customHeight="1" x14ac:dyDescent="0.3">
      <c r="A17" s="42">
        <v>72</v>
      </c>
      <c r="B17" s="50" t="s">
        <v>109</v>
      </c>
      <c r="C17" s="51">
        <v>46313</v>
      </c>
      <c r="D17" s="52">
        <v>2444830</v>
      </c>
      <c r="E17" s="42" t="s">
        <v>90</v>
      </c>
      <c r="F17" s="51">
        <v>46313</v>
      </c>
      <c r="G17" s="52">
        <v>1222415</v>
      </c>
      <c r="H17" s="52">
        <v>0</v>
      </c>
      <c r="I17" s="52">
        <v>1222415</v>
      </c>
      <c r="J17" s="52">
        <v>1222415</v>
      </c>
      <c r="K17" s="53" t="s">
        <v>138</v>
      </c>
      <c r="L17" s="50" t="s">
        <v>133</v>
      </c>
    </row>
    <row r="18" spans="1:12" ht="14.4" customHeight="1" x14ac:dyDescent="0.3">
      <c r="A18" s="58">
        <v>72</v>
      </c>
      <c r="B18" s="50" t="s">
        <v>109</v>
      </c>
      <c r="C18" s="51">
        <v>46313</v>
      </c>
      <c r="D18" s="52">
        <v>2444830</v>
      </c>
      <c r="E18" s="42" t="s">
        <v>91</v>
      </c>
      <c r="F18" s="51">
        <v>46313</v>
      </c>
      <c r="G18" s="52">
        <v>1222415</v>
      </c>
      <c r="H18" s="52">
        <v>0</v>
      </c>
      <c r="I18" s="52">
        <v>1222415</v>
      </c>
      <c r="J18" s="52">
        <v>1222415</v>
      </c>
      <c r="K18" s="53" t="s">
        <v>138</v>
      </c>
      <c r="L18" s="50" t="s">
        <v>133</v>
      </c>
    </row>
    <row r="19" spans="1:12" ht="14.4" customHeight="1" x14ac:dyDescent="0.3">
      <c r="A19" s="42">
        <v>73</v>
      </c>
      <c r="B19" s="50" t="s">
        <v>8</v>
      </c>
      <c r="C19" s="51">
        <v>46314</v>
      </c>
      <c r="D19" s="52">
        <v>5926550.6491228072</v>
      </c>
      <c r="E19" s="42" t="s">
        <v>90</v>
      </c>
      <c r="F19" s="51">
        <v>46314</v>
      </c>
      <c r="G19" s="52">
        <v>3555930.3894736841</v>
      </c>
      <c r="H19" s="52">
        <v>0</v>
      </c>
      <c r="I19" s="52">
        <v>3555930.3894736841</v>
      </c>
      <c r="J19" s="52">
        <v>3555930.3894736841</v>
      </c>
      <c r="K19" s="53" t="s">
        <v>139</v>
      </c>
      <c r="L19" s="50" t="s">
        <v>133</v>
      </c>
    </row>
    <row r="20" spans="1:12" ht="14.4" customHeight="1" x14ac:dyDescent="0.3">
      <c r="A20" s="42">
        <v>73</v>
      </c>
      <c r="B20" s="50" t="s">
        <v>8</v>
      </c>
      <c r="C20" s="51">
        <v>46314</v>
      </c>
      <c r="D20" s="52">
        <v>5926550.6491228072</v>
      </c>
      <c r="E20" s="42" t="s">
        <v>91</v>
      </c>
      <c r="F20" s="51">
        <v>46314</v>
      </c>
      <c r="G20" s="52">
        <v>2370620.2596491231</v>
      </c>
      <c r="H20" s="52">
        <v>0</v>
      </c>
      <c r="I20" s="52">
        <v>2370620.2596491231</v>
      </c>
      <c r="J20" s="52">
        <v>2370620.2596491231</v>
      </c>
      <c r="K20" s="53" t="s">
        <v>139</v>
      </c>
      <c r="L20" s="50" t="s">
        <v>133</v>
      </c>
    </row>
    <row r="21" spans="1:12" ht="14.4" customHeight="1" x14ac:dyDescent="0.3">
      <c r="A21" s="58" t="s">
        <v>38</v>
      </c>
      <c r="B21" s="50" t="s">
        <v>8</v>
      </c>
      <c r="C21" s="51">
        <v>46232</v>
      </c>
      <c r="D21" s="52">
        <v>7077431.6118421052</v>
      </c>
      <c r="E21" s="42" t="s">
        <v>94</v>
      </c>
      <c r="F21" s="51">
        <v>46315</v>
      </c>
      <c r="G21" s="52">
        <v>2359143.8706140351</v>
      </c>
      <c r="H21" s="52">
        <v>0</v>
      </c>
      <c r="I21" s="52">
        <v>2359143.8706140351</v>
      </c>
      <c r="J21" s="52">
        <v>2359143.8706140351</v>
      </c>
      <c r="K21" s="53" t="s">
        <v>140</v>
      </c>
      <c r="L21" s="50" t="s">
        <v>133</v>
      </c>
    </row>
    <row r="22" spans="1:12" ht="14.4" customHeight="1" x14ac:dyDescent="0.3">
      <c r="A22" s="42">
        <v>47</v>
      </c>
      <c r="B22" s="50" t="s">
        <v>11</v>
      </c>
      <c r="C22" s="51">
        <v>46284</v>
      </c>
      <c r="D22" s="52">
        <v>4577624</v>
      </c>
      <c r="E22" s="42" t="s">
        <v>90</v>
      </c>
      <c r="F22" s="51">
        <v>46315</v>
      </c>
      <c r="G22" s="52">
        <v>3433218</v>
      </c>
      <c r="H22" s="52">
        <v>0</v>
      </c>
      <c r="I22" s="52">
        <v>3433218</v>
      </c>
      <c r="J22" s="52">
        <v>3433218</v>
      </c>
      <c r="K22" s="53" t="s">
        <v>140</v>
      </c>
      <c r="L22" s="50" t="s">
        <v>133</v>
      </c>
    </row>
    <row r="23" spans="1:12" ht="14.4" customHeight="1" x14ac:dyDescent="0.3">
      <c r="A23" s="42">
        <v>43</v>
      </c>
      <c r="B23" s="50" t="s">
        <v>14</v>
      </c>
      <c r="C23" s="51">
        <v>46256</v>
      </c>
      <c r="D23" s="52">
        <v>17745354</v>
      </c>
      <c r="E23" s="42" t="s">
        <v>90</v>
      </c>
      <c r="F23" s="51">
        <v>46316</v>
      </c>
      <c r="G23" s="52">
        <v>17745354</v>
      </c>
      <c r="H23" s="52">
        <v>0</v>
      </c>
      <c r="I23" s="52">
        <v>17745354</v>
      </c>
      <c r="J23" s="52">
        <v>0</v>
      </c>
      <c r="K23" s="53"/>
      <c r="L23" s="50" t="s">
        <v>141</v>
      </c>
    </row>
    <row r="24" spans="1:12" ht="14.4" customHeight="1" x14ac:dyDescent="0.3">
      <c r="A24" s="58">
        <v>31</v>
      </c>
      <c r="B24" s="50" t="s">
        <v>8</v>
      </c>
      <c r="C24" s="51">
        <v>46240</v>
      </c>
      <c r="D24" s="52">
        <v>20832933.25877193</v>
      </c>
      <c r="E24" s="42" t="s">
        <v>94</v>
      </c>
      <c r="F24" s="51">
        <v>46321</v>
      </c>
      <c r="G24" s="52">
        <v>6944311.0862573097</v>
      </c>
      <c r="H24" s="52">
        <v>0</v>
      </c>
      <c r="I24" s="52">
        <v>6944311.0862573097</v>
      </c>
      <c r="J24" s="52">
        <v>0</v>
      </c>
      <c r="K24" s="53"/>
      <c r="L24" s="50" t="s">
        <v>157</v>
      </c>
    </row>
    <row r="25" spans="1:12" ht="14.4" customHeight="1" x14ac:dyDescent="0.3">
      <c r="A25" s="42">
        <v>37</v>
      </c>
      <c r="B25" s="50" t="s">
        <v>8</v>
      </c>
      <c r="C25" s="51">
        <v>46250</v>
      </c>
      <c r="D25" s="52">
        <v>8800606.5263157897</v>
      </c>
      <c r="E25" s="42" t="s">
        <v>94</v>
      </c>
      <c r="F25" s="51">
        <v>46321</v>
      </c>
      <c r="G25" s="52">
        <v>2933535.5087719299</v>
      </c>
      <c r="H25" s="52">
        <v>0</v>
      </c>
      <c r="I25" s="52">
        <v>2933535.5087719299</v>
      </c>
      <c r="J25" s="52">
        <v>0</v>
      </c>
      <c r="K25" s="53"/>
      <c r="L25" s="50" t="s">
        <v>157</v>
      </c>
    </row>
    <row r="26" spans="1:12" ht="14.4" customHeight="1" x14ac:dyDescent="0.3">
      <c r="A26" s="42">
        <v>44</v>
      </c>
      <c r="B26" s="50" t="s">
        <v>16</v>
      </c>
      <c r="C26" s="51">
        <v>46268</v>
      </c>
      <c r="D26" s="52">
        <v>7179524.3859649124</v>
      </c>
      <c r="E26" s="42" t="s">
        <v>90</v>
      </c>
      <c r="F26" s="51">
        <v>46321</v>
      </c>
      <c r="G26" s="52">
        <v>7179524.3859649124</v>
      </c>
      <c r="H26" s="52">
        <v>147567.97999999952</v>
      </c>
      <c r="I26" s="52">
        <v>7031956.4059649128</v>
      </c>
      <c r="J26" s="52">
        <v>0</v>
      </c>
      <c r="K26" s="53"/>
      <c r="L26" s="50" t="s">
        <v>157</v>
      </c>
    </row>
    <row r="27" spans="1:12" ht="14.4" customHeight="1" x14ac:dyDescent="0.3">
      <c r="A27" s="42">
        <v>46</v>
      </c>
      <c r="B27" s="50" t="s">
        <v>8</v>
      </c>
      <c r="C27" s="51">
        <v>46281</v>
      </c>
      <c r="D27" s="52">
        <v>9846915.1578947362</v>
      </c>
      <c r="E27" s="42" t="s">
        <v>94</v>
      </c>
      <c r="F27" s="51">
        <v>46321</v>
      </c>
      <c r="G27" s="52">
        <v>3282305.0526315789</v>
      </c>
      <c r="H27" s="52">
        <v>0</v>
      </c>
      <c r="I27" s="52">
        <v>3282305.0526315789</v>
      </c>
      <c r="J27" s="52">
        <v>0</v>
      </c>
      <c r="K27" s="53"/>
      <c r="L27" s="50" t="s">
        <v>157</v>
      </c>
    </row>
    <row r="28" spans="1:12" ht="14.4" customHeight="1" x14ac:dyDescent="0.3">
      <c r="A28" s="42">
        <v>51</v>
      </c>
      <c r="B28" s="50" t="s">
        <v>11</v>
      </c>
      <c r="C28" s="51">
        <v>46292</v>
      </c>
      <c r="D28" s="52">
        <v>4576040</v>
      </c>
      <c r="E28" s="42" t="s">
        <v>90</v>
      </c>
      <c r="F28" s="51">
        <v>46322</v>
      </c>
      <c r="G28" s="52">
        <v>2288020</v>
      </c>
      <c r="H28" s="52">
        <v>0</v>
      </c>
      <c r="I28" s="52">
        <v>2288020</v>
      </c>
      <c r="J28" s="52">
        <v>0</v>
      </c>
      <c r="K28" s="53"/>
      <c r="L28" s="50" t="s">
        <v>142</v>
      </c>
    </row>
    <row r="29" spans="1:12" ht="14.4" customHeight="1" x14ac:dyDescent="0.3">
      <c r="A29" s="42">
        <v>52</v>
      </c>
      <c r="B29" s="50" t="s">
        <v>109</v>
      </c>
      <c r="C29" s="51">
        <v>46297</v>
      </c>
      <c r="D29" s="52">
        <v>5384800</v>
      </c>
      <c r="E29" s="42" t="s">
        <v>90</v>
      </c>
      <c r="F29" s="51">
        <v>46327</v>
      </c>
      <c r="G29" s="52">
        <v>2599999.9999999991</v>
      </c>
      <c r="H29" s="52">
        <v>0</v>
      </c>
      <c r="I29" s="52">
        <v>2599999.9999999991</v>
      </c>
      <c r="J29" s="52">
        <v>0</v>
      </c>
      <c r="K29" s="53"/>
      <c r="L29" s="50" t="s">
        <v>93</v>
      </c>
    </row>
    <row r="30" spans="1:12" ht="14.4" customHeight="1" x14ac:dyDescent="0.3">
      <c r="A30" s="42">
        <v>55</v>
      </c>
      <c r="B30" s="50" t="s">
        <v>109</v>
      </c>
      <c r="C30" s="51">
        <v>46301</v>
      </c>
      <c r="D30" s="52">
        <v>4791465</v>
      </c>
      <c r="E30" s="42" t="s">
        <v>90</v>
      </c>
      <c r="F30" s="51">
        <v>46331</v>
      </c>
      <c r="G30" s="52">
        <v>2395732.5</v>
      </c>
      <c r="H30" s="52">
        <v>0</v>
      </c>
      <c r="I30" s="52">
        <v>2395732.5</v>
      </c>
      <c r="J30" s="52">
        <v>0</v>
      </c>
      <c r="K30" s="53"/>
      <c r="L30" s="50" t="s">
        <v>93</v>
      </c>
    </row>
    <row r="31" spans="1:12" ht="14.4" customHeight="1" x14ac:dyDescent="0.3">
      <c r="A31" s="42">
        <v>62</v>
      </c>
      <c r="B31" s="50" t="s">
        <v>11</v>
      </c>
      <c r="C31" s="51">
        <v>46307</v>
      </c>
      <c r="D31" s="52">
        <v>3795800</v>
      </c>
      <c r="E31" s="42" t="s">
        <v>90</v>
      </c>
      <c r="F31" s="51">
        <v>46337</v>
      </c>
      <c r="G31" s="52">
        <v>2846850</v>
      </c>
      <c r="H31" s="52">
        <v>0</v>
      </c>
      <c r="I31" s="52">
        <v>2846850</v>
      </c>
      <c r="J31" s="52">
        <v>0</v>
      </c>
      <c r="K31" s="53"/>
      <c r="L31" s="50" t="s">
        <v>93</v>
      </c>
    </row>
    <row r="32" spans="1:12" ht="14.4" customHeight="1" x14ac:dyDescent="0.3">
      <c r="A32" s="42">
        <v>63</v>
      </c>
      <c r="B32" s="50" t="s">
        <v>11</v>
      </c>
      <c r="C32" s="51">
        <v>46308</v>
      </c>
      <c r="D32" s="52">
        <v>7171484</v>
      </c>
      <c r="E32" s="42" t="s">
        <v>90</v>
      </c>
      <c r="F32" s="51">
        <v>46338</v>
      </c>
      <c r="G32" s="52">
        <v>5378613</v>
      </c>
      <c r="H32" s="52">
        <v>0</v>
      </c>
      <c r="I32" s="52">
        <v>5378613</v>
      </c>
      <c r="J32" s="52">
        <v>0</v>
      </c>
      <c r="K32" s="53"/>
      <c r="L32" s="50" t="s">
        <v>93</v>
      </c>
    </row>
    <row r="33" spans="1:12" ht="14.4" customHeight="1" x14ac:dyDescent="0.3">
      <c r="A33" s="42">
        <v>64</v>
      </c>
      <c r="B33" s="50" t="s">
        <v>8</v>
      </c>
      <c r="C33" s="51">
        <v>46309</v>
      </c>
      <c r="D33" s="52">
        <v>1238264.4078947369</v>
      </c>
      <c r="E33" s="42" t="s">
        <v>90</v>
      </c>
      <c r="F33" s="51">
        <v>46340</v>
      </c>
      <c r="G33" s="52">
        <v>371479.32236842107</v>
      </c>
      <c r="H33" s="52">
        <v>0</v>
      </c>
      <c r="I33" s="52">
        <v>371479.32236842107</v>
      </c>
      <c r="J33" s="52">
        <v>0</v>
      </c>
      <c r="K33" s="53"/>
      <c r="L33" s="50" t="s">
        <v>93</v>
      </c>
    </row>
    <row r="34" spans="1:12" ht="14.4" customHeight="1" x14ac:dyDescent="0.3">
      <c r="A34" s="42">
        <v>67</v>
      </c>
      <c r="B34" s="50" t="s">
        <v>8</v>
      </c>
      <c r="C34" s="51">
        <v>46309</v>
      </c>
      <c r="D34" s="52">
        <v>538140.19736842101</v>
      </c>
      <c r="E34" s="42" t="s">
        <v>90</v>
      </c>
      <c r="F34" s="51">
        <v>46340</v>
      </c>
      <c r="G34" s="52">
        <v>161442.05921052629</v>
      </c>
      <c r="H34" s="52">
        <v>0</v>
      </c>
      <c r="I34" s="52">
        <v>161442.05921052629</v>
      </c>
      <c r="J34" s="52">
        <v>0</v>
      </c>
      <c r="K34" s="53"/>
      <c r="L34" s="50" t="s">
        <v>93</v>
      </c>
    </row>
    <row r="35" spans="1:12" ht="14.4" customHeight="1" x14ac:dyDescent="0.3">
      <c r="A35" s="42">
        <v>49</v>
      </c>
      <c r="B35" s="42" t="s">
        <v>46</v>
      </c>
      <c r="C35" s="62">
        <v>46286</v>
      </c>
      <c r="D35" s="63">
        <v>1923110</v>
      </c>
      <c r="E35" s="42" t="s">
        <v>90</v>
      </c>
      <c r="F35" s="62">
        <v>46346</v>
      </c>
      <c r="G35" s="63">
        <v>1923110</v>
      </c>
      <c r="H35" s="63">
        <v>0</v>
      </c>
      <c r="I35" s="63">
        <v>1923110</v>
      </c>
      <c r="J35" s="63">
        <v>0</v>
      </c>
      <c r="K35" s="64"/>
      <c r="L35" s="42" t="s">
        <v>93</v>
      </c>
    </row>
    <row r="36" spans="1:12" ht="14.4" customHeight="1" x14ac:dyDescent="0.3">
      <c r="A36" s="42">
        <v>57</v>
      </c>
      <c r="B36" s="42" t="s">
        <v>8</v>
      </c>
      <c r="C36" s="62">
        <v>46304</v>
      </c>
      <c r="D36" s="63">
        <v>12289987.052631579</v>
      </c>
      <c r="E36" s="42" t="s">
        <v>90</v>
      </c>
      <c r="F36" s="62">
        <v>46349</v>
      </c>
      <c r="G36" s="63">
        <v>3686996.1157894735</v>
      </c>
      <c r="H36" s="63">
        <v>0</v>
      </c>
      <c r="I36" s="63">
        <v>3686996.1157894735</v>
      </c>
      <c r="J36" s="63">
        <v>0</v>
      </c>
      <c r="K36" s="64"/>
      <c r="L36" s="42" t="s">
        <v>93</v>
      </c>
    </row>
    <row r="37" spans="1:12" ht="14.4" customHeight="1" x14ac:dyDescent="0.3">
      <c r="A37" s="42">
        <v>51</v>
      </c>
      <c r="B37" s="42" t="s">
        <v>11</v>
      </c>
      <c r="C37" s="62">
        <v>46292</v>
      </c>
      <c r="D37" s="63">
        <v>4576040</v>
      </c>
      <c r="E37" s="42" t="s">
        <v>92</v>
      </c>
      <c r="F37" s="62">
        <v>46353</v>
      </c>
      <c r="G37" s="63">
        <v>2288020</v>
      </c>
      <c r="H37" s="63">
        <v>0</v>
      </c>
      <c r="I37" s="63">
        <v>2288020</v>
      </c>
      <c r="J37" s="63">
        <v>0</v>
      </c>
      <c r="K37" s="64"/>
      <c r="L37" s="42" t="s">
        <v>93</v>
      </c>
    </row>
    <row r="38" spans="1:12" ht="14.4" customHeight="1" x14ac:dyDescent="0.3">
      <c r="A38" s="42">
        <v>64</v>
      </c>
      <c r="B38" s="42" t="s">
        <v>8</v>
      </c>
      <c r="C38" s="62">
        <v>46309</v>
      </c>
      <c r="D38" s="63">
        <v>1238264.4078947369</v>
      </c>
      <c r="E38" s="42" t="s">
        <v>92</v>
      </c>
      <c r="F38" s="62">
        <v>46370</v>
      </c>
      <c r="G38" s="63">
        <v>371479.32236842107</v>
      </c>
      <c r="H38" s="63">
        <v>0</v>
      </c>
      <c r="I38" s="63">
        <v>371479.32236842107</v>
      </c>
      <c r="J38" s="63">
        <v>0</v>
      </c>
      <c r="K38" s="64"/>
      <c r="L38" s="42" t="s">
        <v>93</v>
      </c>
    </row>
    <row r="39" spans="1:12" ht="14.4" customHeight="1" x14ac:dyDescent="0.3">
      <c r="A39" s="42">
        <v>67</v>
      </c>
      <c r="B39" s="42" t="s">
        <v>8</v>
      </c>
      <c r="C39" s="62">
        <v>46309</v>
      </c>
      <c r="D39" s="63">
        <v>538140.19736842101</v>
      </c>
      <c r="E39" s="42" t="s">
        <v>92</v>
      </c>
      <c r="F39" s="62">
        <v>46370</v>
      </c>
      <c r="G39" s="63">
        <v>161442.05921052629</v>
      </c>
      <c r="H39" s="63">
        <v>0</v>
      </c>
      <c r="I39" s="63">
        <v>161442.05921052629</v>
      </c>
      <c r="J39" s="63">
        <v>0</v>
      </c>
      <c r="K39" s="64"/>
      <c r="L39" s="42" t="s">
        <v>93</v>
      </c>
    </row>
    <row r="40" spans="1:12" ht="14.4" customHeight="1" x14ac:dyDescent="0.3">
      <c r="A40" s="42">
        <v>70</v>
      </c>
      <c r="B40" s="42" t="s">
        <v>115</v>
      </c>
      <c r="C40" s="62">
        <v>46310</v>
      </c>
      <c r="D40" s="63">
        <v>2083350</v>
      </c>
      <c r="E40" s="42" t="s">
        <v>90</v>
      </c>
      <c r="F40" s="62">
        <v>46370</v>
      </c>
      <c r="G40" s="63">
        <v>2083350</v>
      </c>
      <c r="H40" s="63">
        <v>0</v>
      </c>
      <c r="I40" s="63">
        <v>2083350</v>
      </c>
      <c r="J40" s="63">
        <v>0</v>
      </c>
      <c r="K40" s="64"/>
      <c r="L40" s="42" t="s">
        <v>93</v>
      </c>
    </row>
    <row r="41" spans="1:12" ht="14.4" customHeight="1" x14ac:dyDescent="0.3">
      <c r="A41" s="42">
        <v>57</v>
      </c>
      <c r="B41" s="42" t="s">
        <v>8</v>
      </c>
      <c r="C41" s="62">
        <v>46304</v>
      </c>
      <c r="D41" s="63">
        <v>12289987.052631579</v>
      </c>
      <c r="E41" s="42" t="s">
        <v>92</v>
      </c>
      <c r="F41" s="62">
        <v>46379</v>
      </c>
      <c r="G41" s="63">
        <v>3686996.1157894735</v>
      </c>
      <c r="H41" s="63">
        <v>0</v>
      </c>
      <c r="I41" s="63">
        <v>3686996.1157894735</v>
      </c>
      <c r="J41" s="63">
        <v>0</v>
      </c>
      <c r="K41" s="64"/>
      <c r="L41" s="42" t="s">
        <v>93</v>
      </c>
    </row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19" priority="19" operator="containsText" text="✓">
      <formula>NOT(ISERROR(SEARCH("✓",F2)))</formula>
    </cfRule>
  </conditionalFormatting>
  <conditionalFormatting sqref="F2">
    <cfRule type="containsText" dxfId="18" priority="20" operator="containsText" text="✗">
      <formula>NOT(ISERROR(SEARCH("✗",F2)))</formula>
    </cfRule>
  </conditionalFormatting>
  <conditionalFormatting sqref="L5:L6">
    <cfRule type="containsText" dxfId="17" priority="13" operator="containsText" text="مسدّد">
      <formula>NOT(ISERROR(SEARCH("مسدّد",L5)))</formula>
    </cfRule>
  </conditionalFormatting>
  <conditionalFormatting sqref="L5:L6">
    <cfRule type="containsText" dxfId="16" priority="14" operator="containsText" text="مستحق">
      <formula>NOT(ISERROR(SEARCH("مستحق",L5)))</formula>
    </cfRule>
  </conditionalFormatting>
  <conditionalFormatting sqref="L5:L6">
    <cfRule type="containsText" dxfId="15" priority="15" operator="containsText" text="قريب">
      <formula>NOT(ISERROR(SEARCH("قريب",L5)))</formula>
    </cfRule>
  </conditionalFormatting>
  <conditionalFormatting sqref="L5:L6">
    <cfRule type="containsText" dxfId="14" priority="16" operator="containsText" text="جار">
      <formula>NOT(ISERROR(SEARCH("جار",L5)))</formula>
    </cfRule>
  </conditionalFormatting>
  <conditionalFormatting sqref="L5:L6">
    <cfRule type="containsText" dxfId="13" priority="17" operator="containsText" text="بدون">
      <formula>NOT(ISERROR(SEARCH("بدون",L5)))</formula>
    </cfRule>
  </conditionalFormatting>
  <conditionalFormatting sqref="J5:J6">
    <cfRule type="cellIs" dxfId="12" priority="18" operator="greaterThan">
      <formula>0</formula>
    </cfRule>
  </conditionalFormatting>
  <conditionalFormatting sqref="L7:L14">
    <cfRule type="containsText" dxfId="11" priority="7" operator="containsText" text="مسدّد">
      <formula>NOT(ISERROR(SEARCH("مسدّد",L7)))</formula>
    </cfRule>
  </conditionalFormatting>
  <conditionalFormatting sqref="L7:L14">
    <cfRule type="containsText" dxfId="10" priority="8" operator="containsText" text="مستحق">
      <formula>NOT(ISERROR(SEARCH("مستحق",L7)))</formula>
    </cfRule>
  </conditionalFormatting>
  <conditionalFormatting sqref="L7:L14">
    <cfRule type="containsText" dxfId="9" priority="9" operator="containsText" text="قريب">
      <formula>NOT(ISERROR(SEARCH("قريب",L7)))</formula>
    </cfRule>
  </conditionalFormatting>
  <conditionalFormatting sqref="L7:L14">
    <cfRule type="containsText" dxfId="8" priority="10" operator="containsText" text="جار">
      <formula>NOT(ISERROR(SEARCH("جار",L7)))</formula>
    </cfRule>
  </conditionalFormatting>
  <conditionalFormatting sqref="L7:L14">
    <cfRule type="containsText" dxfId="7" priority="11" operator="containsText" text="بدون">
      <formula>NOT(ISERROR(SEARCH("بدون",L7)))</formula>
    </cfRule>
  </conditionalFormatting>
  <conditionalFormatting sqref="J7:J14">
    <cfRule type="cellIs" dxfId="6" priority="12" operator="greaterThan">
      <formula>0</formula>
    </cfRule>
  </conditionalFormatting>
  <conditionalFormatting sqref="L15:L41">
    <cfRule type="containsText" dxfId="5" priority="1" operator="containsText" text="مسدّد">
      <formula>NOT(ISERROR(SEARCH("مسدّد",L15)))</formula>
    </cfRule>
  </conditionalFormatting>
  <conditionalFormatting sqref="L15:L41">
    <cfRule type="containsText" dxfId="4" priority="2" operator="containsText" text="مستحق">
      <formula>NOT(ISERROR(SEARCH("مستحق",L15)))</formula>
    </cfRule>
  </conditionalFormatting>
  <conditionalFormatting sqref="L15:L41">
    <cfRule type="containsText" dxfId="3" priority="3" operator="containsText" text="قريب">
      <formula>NOT(ISERROR(SEARCH("قريب",L15)))</formula>
    </cfRule>
  </conditionalFormatting>
  <conditionalFormatting sqref="L15:L41">
    <cfRule type="containsText" dxfId="2" priority="4" operator="containsText" text="جار">
      <formula>NOT(ISERROR(SEARCH("جار",L15)))</formula>
    </cfRule>
  </conditionalFormatting>
  <conditionalFormatting sqref="L15:L41">
    <cfRule type="containsText" dxfId="1" priority="5" operator="containsText" text="بدون">
      <formula>NOT(ISERROR(SEARCH("بدون",L15)))</formula>
    </cfRule>
  </conditionalFormatting>
  <conditionalFormatting sqref="J15:J41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1" t="s">
        <v>48</v>
      </c>
      <c r="B1" s="72"/>
      <c r="C1" s="72"/>
      <c r="I1" s="75" t="s">
        <v>49</v>
      </c>
      <c r="J1" s="76"/>
      <c r="K1" s="76"/>
    </row>
    <row r="2" spans="1:11" ht="15.6" x14ac:dyDescent="0.3">
      <c r="A2" s="2" t="s">
        <v>50</v>
      </c>
      <c r="B2" s="73">
        <f>SUM(B4:B3000)-SUM(C4:C3000)</f>
        <v>118740347.92780706</v>
      </c>
      <c r="C2" s="74"/>
      <c r="I2" s="3" t="s">
        <v>50</v>
      </c>
      <c r="J2" s="73">
        <f>SUM(J4:J3000)-SUM(K4:K3000)</f>
        <v>-123970235</v>
      </c>
      <c r="K2" s="74"/>
    </row>
    <row r="3" spans="1:11" ht="18" customHeight="1" x14ac:dyDescent="0.35">
      <c r="A3" s="4" t="s">
        <v>17</v>
      </c>
      <c r="B3" s="5" t="s">
        <v>51</v>
      </c>
      <c r="C3" s="5" t="s">
        <v>52</v>
      </c>
      <c r="I3" s="4" t="s">
        <v>53</v>
      </c>
      <c r="J3" s="5" t="s">
        <v>51</v>
      </c>
      <c r="K3" s="5" t="s">
        <v>52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54</v>
      </c>
      <c r="J4" s="7">
        <v>0</v>
      </c>
      <c r="K4" s="7">
        <v>123970235</v>
      </c>
    </row>
    <row r="5" spans="1:11" ht="18" customHeight="1" x14ac:dyDescent="0.35">
      <c r="A5" s="6" t="s">
        <v>16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57761580.282894775</v>
      </c>
      <c r="C6" s="7">
        <v>0</v>
      </c>
    </row>
    <row r="7" spans="1:11" ht="18" customHeight="1" x14ac:dyDescent="0.35">
      <c r="A7" s="6" t="s">
        <v>11</v>
      </c>
      <c r="B7" s="7">
        <v>25027998</v>
      </c>
      <c r="C7" s="7">
        <v>0</v>
      </c>
    </row>
    <row r="8" spans="1:11" ht="18" customHeight="1" x14ac:dyDescent="0.35">
      <c r="A8" s="6" t="s">
        <v>46</v>
      </c>
      <c r="B8" s="7">
        <v>1940415.0000000005</v>
      </c>
      <c r="C8" s="7">
        <v>0</v>
      </c>
    </row>
    <row r="9" spans="1:11" ht="18" customHeight="1" x14ac:dyDescent="0.35">
      <c r="A9" s="6" t="s">
        <v>40</v>
      </c>
      <c r="B9" s="7">
        <v>0</v>
      </c>
      <c r="C9" s="7">
        <v>35015.061403508531</v>
      </c>
    </row>
    <row r="10" spans="1:11" ht="18" customHeight="1" x14ac:dyDescent="0.35">
      <c r="A10" s="6" t="s">
        <v>28</v>
      </c>
      <c r="B10" s="7">
        <v>0</v>
      </c>
      <c r="C10" s="7">
        <v>4</v>
      </c>
    </row>
    <row r="11" spans="1:11" ht="18" customHeight="1" x14ac:dyDescent="0.35">
      <c r="A11" s="6" t="s">
        <v>14</v>
      </c>
      <c r="B11" s="7">
        <v>17745354.000000004</v>
      </c>
      <c r="C11" s="7">
        <v>0</v>
      </c>
    </row>
    <row r="12" spans="1:11" ht="18" customHeight="1" x14ac:dyDescent="0.35">
      <c r="A12" s="6" t="s">
        <v>109</v>
      </c>
      <c r="B12" s="7">
        <v>7440562.0000000019</v>
      </c>
      <c r="C12" s="7">
        <v>0</v>
      </c>
    </row>
    <row r="13" spans="1:11" x14ac:dyDescent="0.3">
      <c r="A13" t="s">
        <v>115</v>
      </c>
      <c r="B13" s="8">
        <v>1827500.0000000005</v>
      </c>
      <c r="C13" s="8">
        <v>0</v>
      </c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55</v>
      </c>
      <c r="B1" s="10" t="s">
        <v>56</v>
      </c>
      <c r="C1" s="10" t="s">
        <v>57</v>
      </c>
      <c r="D1" s="10" t="s">
        <v>58</v>
      </c>
      <c r="E1" s="10" t="s">
        <v>59</v>
      </c>
      <c r="F1" s="10" t="s">
        <v>60</v>
      </c>
      <c r="G1" s="11" t="s">
        <v>61</v>
      </c>
      <c r="H1" s="11" t="s">
        <v>62</v>
      </c>
      <c r="I1" s="11" t="s">
        <v>63</v>
      </c>
      <c r="J1" s="12" t="s">
        <v>64</v>
      </c>
      <c r="K1" s="10" t="s">
        <v>65</v>
      </c>
      <c r="L1" s="10" t="s">
        <v>66</v>
      </c>
    </row>
    <row r="2" spans="1:12" ht="15" customHeight="1" thickBot="1" x14ac:dyDescent="0.35">
      <c r="A2" s="13" t="s">
        <v>67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68</v>
      </c>
      <c r="L2" s="15">
        <v>2026</v>
      </c>
    </row>
    <row r="3" spans="1:12" ht="15" customHeight="1" thickBot="1" x14ac:dyDescent="0.35">
      <c r="A3" s="13" t="s">
        <v>69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68</v>
      </c>
      <c r="L3" s="15">
        <v>2026</v>
      </c>
    </row>
    <row r="4" spans="1:12" ht="15" customHeight="1" thickBot="1" x14ac:dyDescent="0.35">
      <c r="A4" s="13" t="s">
        <v>70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68</v>
      </c>
      <c r="L4" s="15">
        <v>2026</v>
      </c>
    </row>
    <row r="5" spans="1:12" ht="15" customHeight="1" thickBot="1" x14ac:dyDescent="0.35">
      <c r="A5" s="13" t="s">
        <v>71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68</v>
      </c>
      <c r="L5" s="15">
        <v>2026</v>
      </c>
    </row>
    <row r="6" spans="1:12" ht="15" customHeight="1" thickBot="1" x14ac:dyDescent="0.35">
      <c r="A6" s="13" t="s">
        <v>72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68</v>
      </c>
      <c r="L6" s="15">
        <v>2026</v>
      </c>
    </row>
    <row r="7" spans="1:12" ht="15" customHeight="1" thickBot="1" x14ac:dyDescent="0.35">
      <c r="A7" s="13" t="s">
        <v>73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68</v>
      </c>
      <c r="L7" s="15">
        <v>2026</v>
      </c>
    </row>
    <row r="8" spans="1:12" ht="15" customHeight="1" thickBot="1" x14ac:dyDescent="0.35">
      <c r="A8" s="13" t="s">
        <v>74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68</v>
      </c>
      <c r="L8" s="15">
        <v>2026</v>
      </c>
    </row>
    <row r="9" spans="1:12" ht="15" customHeight="1" thickBot="1" x14ac:dyDescent="0.35">
      <c r="A9" s="13" t="s">
        <v>75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76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7" t="s">
        <v>77</v>
      </c>
      <c r="B1" s="77"/>
      <c r="C1" s="77"/>
      <c r="D1" s="77"/>
    </row>
    <row r="2" spans="1:4" x14ac:dyDescent="0.3">
      <c r="A2" s="21" t="s">
        <v>78</v>
      </c>
      <c r="B2" s="22">
        <v>18</v>
      </c>
      <c r="C2" s="23">
        <v>50850224.498684205</v>
      </c>
      <c r="D2" s="24">
        <v>5.9444444444452529</v>
      </c>
    </row>
    <row r="3" spans="1:4" x14ac:dyDescent="0.3">
      <c r="A3" s="25" t="s">
        <v>0</v>
      </c>
      <c r="B3" s="25" t="s">
        <v>79</v>
      </c>
      <c r="C3" s="25" t="s">
        <v>80</v>
      </c>
      <c r="D3" s="25" t="s">
        <v>81</v>
      </c>
    </row>
    <row r="4" spans="1:4" x14ac:dyDescent="0.3">
      <c r="A4" s="54" t="s">
        <v>109</v>
      </c>
      <c r="B4" s="26">
        <v>2</v>
      </c>
      <c r="C4" s="27">
        <v>2444830</v>
      </c>
      <c r="D4" s="28">
        <v>3</v>
      </c>
    </row>
    <row r="5" spans="1:4" x14ac:dyDescent="0.3">
      <c r="A5" s="29" t="s">
        <v>46</v>
      </c>
      <c r="B5" s="26">
        <v>1</v>
      </c>
      <c r="C5" s="27">
        <v>17305</v>
      </c>
      <c r="D5" s="28">
        <v>6</v>
      </c>
    </row>
    <row r="6" spans="1:4" x14ac:dyDescent="0.3">
      <c r="A6" s="29" t="s">
        <v>8</v>
      </c>
      <c r="B6" s="26">
        <v>7</v>
      </c>
      <c r="C6" s="27">
        <v>36161594.498684205</v>
      </c>
      <c r="D6" s="28">
        <v>5.857142857144936</v>
      </c>
    </row>
    <row r="7" spans="1:4" x14ac:dyDescent="0.3">
      <c r="A7" s="29" t="s">
        <v>11</v>
      </c>
      <c r="B7" s="26">
        <v>8</v>
      </c>
      <c r="C7" s="27">
        <v>12226495</v>
      </c>
      <c r="D7" s="28">
        <v>6.75</v>
      </c>
    </row>
    <row r="8" spans="1:4" x14ac:dyDescent="0.3">
      <c r="A8" s="29"/>
      <c r="B8" s="26" t="s">
        <v>82</v>
      </c>
      <c r="C8" s="27" t="s">
        <v>82</v>
      </c>
      <c r="D8" s="28" t="s">
        <v>82</v>
      </c>
    </row>
    <row r="9" spans="1:4" x14ac:dyDescent="0.3">
      <c r="A9" s="29"/>
      <c r="B9" s="26" t="s">
        <v>82</v>
      </c>
      <c r="C9" s="27" t="s">
        <v>82</v>
      </c>
      <c r="D9" s="28" t="s">
        <v>82</v>
      </c>
    </row>
    <row r="10" spans="1:4" x14ac:dyDescent="0.3">
      <c r="A10" s="29"/>
      <c r="B10" s="26" t="s">
        <v>82</v>
      </c>
      <c r="C10" s="27" t="s">
        <v>82</v>
      </c>
      <c r="D10" s="28" t="s">
        <v>82</v>
      </c>
    </row>
    <row r="11" spans="1:4" x14ac:dyDescent="0.3">
      <c r="A11" s="29"/>
      <c r="B11" s="26" t="s">
        <v>82</v>
      </c>
      <c r="C11" s="27" t="s">
        <v>82</v>
      </c>
      <c r="D11" s="28" t="s">
        <v>82</v>
      </c>
    </row>
    <row r="12" spans="1:4" x14ac:dyDescent="0.3">
      <c r="A12" s="29"/>
      <c r="B12" s="26" t="s">
        <v>82</v>
      </c>
      <c r="C12" s="27" t="s">
        <v>82</v>
      </c>
      <c r="D12" s="28" t="s">
        <v>82</v>
      </c>
    </row>
    <row r="13" spans="1:4" x14ac:dyDescent="0.3">
      <c r="A13" s="29"/>
      <c r="B13" s="26" t="s">
        <v>82</v>
      </c>
      <c r="C13" s="27" t="s">
        <v>82</v>
      </c>
      <c r="D13" s="28" t="s">
        <v>82</v>
      </c>
    </row>
    <row r="14" spans="1:4" x14ac:dyDescent="0.3">
      <c r="A14" s="29"/>
      <c r="B14" s="26" t="s">
        <v>82</v>
      </c>
      <c r="C14" s="27" t="s">
        <v>82</v>
      </c>
      <c r="D14" s="28" t="s">
        <v>82</v>
      </c>
    </row>
    <row r="15" spans="1:4" x14ac:dyDescent="0.3">
      <c r="A15" s="29"/>
      <c r="B15" s="26" t="s">
        <v>82</v>
      </c>
      <c r="C15" s="27" t="s">
        <v>82</v>
      </c>
      <c r="D15" s="28" t="s">
        <v>82</v>
      </c>
    </row>
    <row r="16" spans="1:4" x14ac:dyDescent="0.3">
      <c r="A16" s="29"/>
      <c r="B16" s="26" t="s">
        <v>82</v>
      </c>
      <c r="C16" s="27" t="s">
        <v>82</v>
      </c>
      <c r="D16" s="28" t="s">
        <v>82</v>
      </c>
    </row>
    <row r="17" spans="1:4" x14ac:dyDescent="0.3">
      <c r="A17" s="29"/>
      <c r="B17" s="26" t="s">
        <v>82</v>
      </c>
      <c r="C17" s="27" t="s">
        <v>82</v>
      </c>
      <c r="D17" s="28" t="s">
        <v>82</v>
      </c>
    </row>
    <row r="18" spans="1:4" x14ac:dyDescent="0.3">
      <c r="A18" s="29"/>
      <c r="B18" s="26" t="s">
        <v>82</v>
      </c>
      <c r="C18" s="27" t="s">
        <v>82</v>
      </c>
      <c r="D18" s="28" t="s">
        <v>82</v>
      </c>
    </row>
    <row r="19" spans="1:4" x14ac:dyDescent="0.3">
      <c r="A19" s="29"/>
      <c r="B19" s="26" t="s">
        <v>82</v>
      </c>
      <c r="C19" s="27" t="s">
        <v>82</v>
      </c>
      <c r="D19" s="28" t="s">
        <v>82</v>
      </c>
    </row>
    <row r="20" spans="1:4" x14ac:dyDescent="0.3">
      <c r="A20" s="29"/>
      <c r="B20" s="26" t="s">
        <v>82</v>
      </c>
      <c r="C20" s="27" t="s">
        <v>82</v>
      </c>
      <c r="D20" s="28" t="s">
        <v>82</v>
      </c>
    </row>
  </sheetData>
  <sheetProtection algorithmName="SHA-512" hashValue="8zZZhsENUYmIq7JBaf1ZT2vVS3mVvf5cYSTjFfXujYMuf91n8kSUmAtLtDrMJ6o4+NWIALyuBNYXywxmxPSDlA==" saltValue="+kI8vm5s2m/kuO4uinYWEQ==" spinCount="100000" sheet="1" objects="1" scenarios="1"/>
  <mergeCells count="1">
    <mergeCell ref="A1:D1"/>
  </mergeCells>
  <conditionalFormatting sqref="A4:D20">
    <cfRule type="expression" dxfId="2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2026-10-20T06:54:02Z</dcterms:modified>
</cp:coreProperties>
</file>